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miller/Documents/Fun/nfl/model results/"/>
    </mc:Choice>
  </mc:AlternateContent>
  <xr:revisionPtr revIDLastSave="0" documentId="13_ncr:1_{7D2DB388-3AEA-9145-9CF5-53F6D6F5BA48}" xr6:coauthVersionLast="47" xr6:coauthVersionMax="47" xr10:uidLastSave="{00000000-0000-0000-0000-000000000000}"/>
  <bookViews>
    <workbookView xWindow="0" yWindow="760" windowWidth="30240" windowHeight="17360" activeTab="14" xr2:uid="{00000000-000D-0000-FFFF-FFFF00000000}"/>
  </bookViews>
  <sheets>
    <sheet name="Master" sheetId="2" r:id="rId1"/>
    <sheet name="Weekly Record" sheetId="13" r:id="rId2"/>
    <sheet name="Week 6" sheetId="1" r:id="rId3"/>
    <sheet name="Week 7" sheetId="3" r:id="rId4"/>
    <sheet name="Week 8" sheetId="4" r:id="rId5"/>
    <sheet name="Week 9" sheetId="5" r:id="rId6"/>
    <sheet name="Week 10" sheetId="6" r:id="rId7"/>
    <sheet name="Week 11" sheetId="8" r:id="rId8"/>
    <sheet name="Week 12" sheetId="9" r:id="rId9"/>
    <sheet name="Week 13" sheetId="10" r:id="rId10"/>
    <sheet name="Week 14" sheetId="11" r:id="rId11"/>
    <sheet name="Week 15" sheetId="12" r:id="rId12"/>
    <sheet name="Week 16" sheetId="14" r:id="rId13"/>
    <sheet name="Week 17" sheetId="15" r:id="rId14"/>
    <sheet name="Week 18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6" l="1"/>
  <c r="C4" i="16"/>
  <c r="C3" i="16"/>
  <c r="C2" i="16"/>
  <c r="C5" i="15"/>
  <c r="C4" i="15"/>
  <c r="C3" i="15"/>
  <c r="C2" i="15"/>
  <c r="C5" i="14"/>
  <c r="C4" i="14"/>
  <c r="C3" i="14"/>
  <c r="C2" i="14"/>
  <c r="B35" i="13" a="1"/>
  <c r="B19" i="13" a="1"/>
  <c r="B4" i="13" a="1"/>
  <c r="C5" i="12"/>
  <c r="C4" i="12"/>
  <c r="C3" i="12"/>
  <c r="C2" i="12"/>
  <c r="C5" i="11"/>
  <c r="C4" i="11"/>
  <c r="C3" i="11"/>
  <c r="C2" i="11"/>
  <c r="C5" i="10"/>
  <c r="C4" i="10"/>
  <c r="C3" i="10"/>
  <c r="C2" i="10"/>
  <c r="C5" i="9"/>
  <c r="C4" i="9"/>
  <c r="C3" i="9"/>
  <c r="C2" i="9"/>
  <c r="C5" i="2"/>
  <c r="C4" i="2"/>
  <c r="E4" i="2" s="1"/>
  <c r="D5" i="2"/>
  <c r="D4" i="2"/>
  <c r="C5" i="8"/>
  <c r="C4" i="8"/>
  <c r="C3" i="8"/>
  <c r="C2" i="8"/>
  <c r="C3" i="6"/>
  <c r="C2" i="6"/>
  <c r="C4" i="6" s="1"/>
  <c r="C3" i="5"/>
  <c r="C2" i="5"/>
  <c r="C4" i="5" s="1"/>
  <c r="C3" i="4"/>
  <c r="C2" i="4"/>
  <c r="C4" i="4" s="1"/>
  <c r="C4" i="3"/>
  <c r="C3" i="3"/>
  <c r="C2" i="3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8" i="1"/>
  <c r="D15" i="13" l="1"/>
  <c r="D3" i="16"/>
  <c r="D4" i="16"/>
  <c r="D5" i="16"/>
  <c r="B4" i="13"/>
  <c r="C29" i="13"/>
  <c r="E29" i="13" s="1"/>
  <c r="D29" i="13"/>
  <c r="D5" i="15"/>
  <c r="D3" i="15"/>
  <c r="D4" i="15"/>
  <c r="B19" i="13"/>
  <c r="B35" i="13"/>
  <c r="D4" i="14"/>
  <c r="D3" i="14"/>
  <c r="D5" i="14"/>
  <c r="E5" i="2"/>
  <c r="D3" i="12"/>
  <c r="D4" i="12"/>
  <c r="D5" i="12"/>
  <c r="D4" i="11"/>
  <c r="D3" i="11"/>
  <c r="D5" i="11"/>
  <c r="D4" i="10"/>
  <c r="D5" i="10"/>
  <c r="D3" i="10"/>
  <c r="F5" i="2"/>
  <c r="F4" i="2"/>
  <c r="D4" i="9"/>
  <c r="D3" i="9"/>
  <c r="D5" i="9"/>
  <c r="C3" i="2"/>
  <c r="C4" i="13" s="1"/>
  <c r="D3" i="2"/>
  <c r="D3" i="8"/>
  <c r="D4" i="8"/>
  <c r="D5" i="8"/>
  <c r="F29" i="13" l="1"/>
  <c r="D42" i="13"/>
  <c r="D30" i="13"/>
  <c r="D41" i="13"/>
  <c r="F41" i="13" s="1"/>
  <c r="C20" i="13"/>
  <c r="F20" i="13" s="1"/>
  <c r="C15" i="13"/>
  <c r="E15" i="13" s="1"/>
  <c r="C41" i="13"/>
  <c r="C46" i="13"/>
  <c r="D14" i="13"/>
  <c r="D46" i="13"/>
  <c r="F46" i="13" s="1"/>
  <c r="D13" i="13"/>
  <c r="C45" i="13"/>
  <c r="D6" i="13"/>
  <c r="C39" i="13"/>
  <c r="E39" i="13" s="1"/>
  <c r="C30" i="13"/>
  <c r="E30" i="13" s="1"/>
  <c r="C23" i="13"/>
  <c r="D45" i="13"/>
  <c r="D21" i="13"/>
  <c r="C14" i="13"/>
  <c r="E14" i="13" s="1"/>
  <c r="C36" i="13"/>
  <c r="D35" i="13"/>
  <c r="D7" i="13"/>
  <c r="D22" i="13"/>
  <c r="C12" i="13"/>
  <c r="C28" i="13"/>
  <c r="D10" i="13"/>
  <c r="C27" i="13"/>
  <c r="C13" i="13"/>
  <c r="E13" i="13" s="1"/>
  <c r="C21" i="13"/>
  <c r="E21" i="13" s="1"/>
  <c r="D38" i="13"/>
  <c r="D5" i="13"/>
  <c r="C44" i="13"/>
  <c r="D39" i="13"/>
  <c r="C9" i="13"/>
  <c r="C5" i="13"/>
  <c r="D4" i="13"/>
  <c r="F4" i="13" s="1"/>
  <c r="C19" i="13"/>
  <c r="C37" i="13"/>
  <c r="D20" i="13"/>
  <c r="D40" i="13"/>
  <c r="D28" i="13"/>
  <c r="F28" i="13" s="1"/>
  <c r="D11" i="13"/>
  <c r="C8" i="13"/>
  <c r="C38" i="13"/>
  <c r="D24" i="13"/>
  <c r="D8" i="13"/>
  <c r="C6" i="13"/>
  <c r="C26" i="13"/>
  <c r="C25" i="13"/>
  <c r="C40" i="13"/>
  <c r="D25" i="13"/>
  <c r="D36" i="13"/>
  <c r="F36" i="13" s="1"/>
  <c r="C11" i="13"/>
  <c r="D12" i="13"/>
  <c r="E12" i="13" s="1"/>
  <c r="C24" i="13"/>
  <c r="C42" i="13"/>
  <c r="E42" i="13" s="1"/>
  <c r="D27" i="13"/>
  <c r="F27" i="13" s="1"/>
  <c r="D43" i="13"/>
  <c r="D19" i="13"/>
  <c r="D23" i="13"/>
  <c r="F23" i="13" s="1"/>
  <c r="C10" i="13"/>
  <c r="E10" i="13" s="1"/>
  <c r="D37" i="13"/>
  <c r="F37" i="13" s="1"/>
  <c r="D9" i="13"/>
  <c r="C7" i="13"/>
  <c r="C22" i="13"/>
  <c r="E22" i="13" s="1"/>
  <c r="C43" i="13"/>
  <c r="D26" i="13"/>
  <c r="F26" i="13" s="1"/>
  <c r="D44" i="13"/>
  <c r="E44" i="13" s="1"/>
  <c r="E41" i="13"/>
  <c r="F44" i="13"/>
  <c r="F42" i="13"/>
  <c r="C35" i="13"/>
  <c r="E25" i="13"/>
  <c r="E28" i="13"/>
  <c r="F13" i="13"/>
  <c r="E3" i="2"/>
  <c r="F3" i="2"/>
  <c r="F6" i="13" l="1"/>
  <c r="E20" i="13"/>
  <c r="F5" i="13"/>
  <c r="F38" i="13"/>
  <c r="F30" i="13"/>
  <c r="E23" i="13"/>
  <c r="F43" i="13"/>
  <c r="F39" i="13"/>
  <c r="F45" i="13"/>
  <c r="F15" i="13"/>
  <c r="E35" i="13"/>
  <c r="F7" i="13"/>
  <c r="E46" i="13"/>
  <c r="E5" i="13"/>
  <c r="E6" i="13"/>
  <c r="F12" i="13"/>
  <c r="F9" i="13"/>
  <c r="E4" i="13"/>
  <c r="F19" i="13"/>
  <c r="F25" i="13"/>
  <c r="E8" i="13"/>
  <c r="F14" i="13"/>
  <c r="E43" i="13"/>
  <c r="E38" i="13"/>
  <c r="F21" i="13"/>
  <c r="F40" i="13"/>
  <c r="F10" i="13"/>
  <c r="E36" i="13"/>
  <c r="E37" i="13"/>
  <c r="E11" i="13"/>
  <c r="E24" i="13"/>
  <c r="E45" i="13"/>
  <c r="F24" i="13"/>
  <c r="E40" i="13"/>
  <c r="E19" i="13"/>
  <c r="E7" i="13"/>
  <c r="E26" i="13"/>
  <c r="F22" i="13"/>
  <c r="F8" i="13"/>
  <c r="E27" i="13"/>
  <c r="E9" i="13"/>
  <c r="F11" i="13"/>
  <c r="F35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<sst xmlns="http://schemas.openxmlformats.org/spreadsheetml/2006/main" count="3461" uniqueCount="225">
  <si>
    <t>season</t>
  </si>
  <si>
    <t>week</t>
  </si>
  <si>
    <t>home_team</t>
  </si>
  <si>
    <t>away_team</t>
  </si>
  <si>
    <t>prob_home</t>
  </si>
  <si>
    <t>prob_away</t>
  </si>
  <si>
    <t>pred</t>
  </si>
  <si>
    <t>home_team_ml</t>
  </si>
  <si>
    <t>away_team_ml</t>
  </si>
  <si>
    <t>winner</t>
  </si>
  <si>
    <t>NYG</t>
  </si>
  <si>
    <t>PHI</t>
  </si>
  <si>
    <t>+251</t>
  </si>
  <si>
    <t>NYJ</t>
  </si>
  <si>
    <t>DEN</t>
  </si>
  <si>
    <t>+233</t>
  </si>
  <si>
    <t>BAL</t>
  </si>
  <si>
    <t>LA</t>
  </si>
  <si>
    <t>+116</t>
  </si>
  <si>
    <t>CAR</t>
  </si>
  <si>
    <t>DAL</t>
  </si>
  <si>
    <t>+103</t>
  </si>
  <si>
    <t>IND</t>
  </si>
  <si>
    <t>ARI</t>
  </si>
  <si>
    <t>+139</t>
  </si>
  <si>
    <t>JAX</t>
  </si>
  <si>
    <t>SEA</t>
  </si>
  <si>
    <t>+114</t>
  </si>
  <si>
    <t>MIA</t>
  </si>
  <si>
    <t>LAC</t>
  </si>
  <si>
    <t>+102</t>
  </si>
  <si>
    <t>NO</t>
  </si>
  <si>
    <t>NE</t>
  </si>
  <si>
    <t>+153</t>
  </si>
  <si>
    <t>PIT</t>
  </si>
  <si>
    <t>CLE</t>
  </si>
  <si>
    <t>+254</t>
  </si>
  <si>
    <t>LV</t>
  </si>
  <si>
    <t>TEN</t>
  </si>
  <si>
    <t>+151</t>
  </si>
  <si>
    <t>GB</t>
  </si>
  <si>
    <t>CIN</t>
  </si>
  <si>
    <t>+259</t>
  </si>
  <si>
    <t>TB</t>
  </si>
  <si>
    <t>SF</t>
  </si>
  <si>
    <t>+149</t>
  </si>
  <si>
    <t>KC</t>
  </si>
  <si>
    <t>DET</t>
  </si>
  <si>
    <t>+176</t>
  </si>
  <si>
    <t>ATL</t>
  </si>
  <si>
    <t>BUF</t>
  </si>
  <si>
    <t>+214</t>
  </si>
  <si>
    <t>WAS</t>
  </si>
  <si>
    <t>CHI</t>
  </si>
  <si>
    <t>+272</t>
  </si>
  <si>
    <t>home_epa</t>
  </si>
  <si>
    <t>away_epa</t>
  </si>
  <si>
    <t>EPA_O_Play</t>
  </si>
  <si>
    <t>EPA_D_Play</t>
  </si>
  <si>
    <t>EPA_ST_Play</t>
  </si>
  <si>
    <t>Results</t>
  </si>
  <si>
    <t>correct?</t>
  </si>
  <si>
    <t>Probabilities</t>
  </si>
  <si>
    <t>Games</t>
  </si>
  <si>
    <t>Correct</t>
  </si>
  <si>
    <t>%</t>
  </si>
  <si>
    <t>home_team_EPA_O_Play</t>
  </si>
  <si>
    <t>home_team_EPA_D_Play</t>
  </si>
  <si>
    <t>home_team_EPA_ST_Play</t>
  </si>
  <si>
    <t>away_team_EPA_O_Play</t>
  </si>
  <si>
    <t>away_team_EPA_D_Play</t>
  </si>
  <si>
    <t>away_team_EPA_ST_Play</t>
  </si>
  <si>
    <t>+107</t>
  </si>
  <si>
    <t>+112</t>
  </si>
  <si>
    <t>+140</t>
  </si>
  <si>
    <t>+196</t>
  </si>
  <si>
    <t>+321</t>
  </si>
  <si>
    <t>MIN</t>
  </si>
  <si>
    <t>+117</t>
  </si>
  <si>
    <t>+127</t>
  </si>
  <si>
    <t>+220</t>
  </si>
  <si>
    <t>+299</t>
  </si>
  <si>
    <t>+132</t>
  </si>
  <si>
    <t>+119</t>
  </si>
  <si>
    <t>+142</t>
  </si>
  <si>
    <t>HOU</t>
  </si>
  <si>
    <t>+157</t>
  </si>
  <si>
    <t>spread</t>
  </si>
  <si>
    <t>+120</t>
  </si>
  <si>
    <t>+144</t>
  </si>
  <si>
    <t>+158</t>
  </si>
  <si>
    <t>+204</t>
  </si>
  <si>
    <t>+148</t>
  </si>
  <si>
    <t>+396</t>
  </si>
  <si>
    <t>+227</t>
  </si>
  <si>
    <t>+260</t>
  </si>
  <si>
    <t>+646</t>
  </si>
  <si>
    <t>+138</t>
  </si>
  <si>
    <t>+160</t>
  </si>
  <si>
    <t>+123</t>
  </si>
  <si>
    <t>-123</t>
  </si>
  <si>
    <t>-150</t>
  </si>
  <si>
    <t>+150</t>
  </si>
  <si>
    <t>-230</t>
  </si>
  <si>
    <t>+230</t>
  </si>
  <si>
    <t>-245</t>
  </si>
  <si>
    <t>+245</t>
  </si>
  <si>
    <t>-102</t>
  </si>
  <si>
    <t>-162</t>
  </si>
  <si>
    <t>+162</t>
  </si>
  <si>
    <t>+106</t>
  </si>
  <si>
    <t>-106</t>
  </si>
  <si>
    <t>+177</t>
  </si>
  <si>
    <t>-177</t>
  </si>
  <si>
    <t>+301</t>
  </si>
  <si>
    <t>-301</t>
  </si>
  <si>
    <t>-307</t>
  </si>
  <si>
    <t>+307</t>
  </si>
  <si>
    <t>+152</t>
  </si>
  <si>
    <t>-152</t>
  </si>
  <si>
    <t>-108</t>
  </si>
  <si>
    <t>+108</t>
  </si>
  <si>
    <t>pred_home_ml_viz</t>
  </si>
  <si>
    <t>pred_away_ml_viz</t>
  </si>
  <si>
    <t>home_moneyline</t>
  </si>
  <si>
    <t>away_moneyline</t>
  </si>
  <si>
    <t>spread_line</t>
  </si>
  <si>
    <t>pred_spread</t>
  </si>
  <si>
    <t>total_line</t>
  </si>
  <si>
    <t>winner_correct?</t>
  </si>
  <si>
    <t>spread_pick</t>
  </si>
  <si>
    <t>result</t>
  </si>
  <si>
    <t>spread_result</t>
  </si>
  <si>
    <t>spread_correct?</t>
  </si>
  <si>
    <t>total_pick</t>
  </si>
  <si>
    <t>total</t>
  </si>
  <si>
    <t>total_result</t>
  </si>
  <si>
    <t>total_correct?</t>
  </si>
  <si>
    <t>away</t>
  </si>
  <si>
    <t>home</t>
  </si>
  <si>
    <t>over</t>
  </si>
  <si>
    <t>under</t>
  </si>
  <si>
    <t>Game Picks (Win Prob)</t>
  </si>
  <si>
    <t>Spread Picks (Score Model)</t>
  </si>
  <si>
    <t>Total Picks (Score Model)</t>
  </si>
  <si>
    <t>Picks</t>
  </si>
  <si>
    <t>ATS</t>
  </si>
  <si>
    <t>Total</t>
  </si>
  <si>
    <t>pred_total</t>
  </si>
  <si>
    <t>Pred Score (Score Model)</t>
  </si>
  <si>
    <t>Totals</t>
  </si>
  <si>
    <t>home_score</t>
  </si>
  <si>
    <t>away_score</t>
  </si>
  <si>
    <t>-140</t>
  </si>
  <si>
    <t>-217</t>
  </si>
  <si>
    <t>+217</t>
  </si>
  <si>
    <t>-137</t>
  </si>
  <si>
    <t>+137</t>
  </si>
  <si>
    <t>+185</t>
  </si>
  <si>
    <t>-185</t>
  </si>
  <si>
    <t>-235</t>
  </si>
  <si>
    <t>+235</t>
  </si>
  <si>
    <t>-211</t>
  </si>
  <si>
    <t>+211</t>
  </si>
  <si>
    <t>+105</t>
  </si>
  <si>
    <t>-105</t>
  </si>
  <si>
    <t>+323</t>
  </si>
  <si>
    <t>-323</t>
  </si>
  <si>
    <t>+115</t>
  </si>
  <si>
    <t>-115</t>
  </si>
  <si>
    <t>-107</t>
  </si>
  <si>
    <t>-112</t>
  </si>
  <si>
    <t>-196</t>
  </si>
  <si>
    <t>-153</t>
  </si>
  <si>
    <t>-195</t>
  </si>
  <si>
    <t>+195</t>
  </si>
  <si>
    <t>-116</t>
  </si>
  <si>
    <t>-174</t>
  </si>
  <si>
    <t>+174</t>
  </si>
  <si>
    <t>-131</t>
  </si>
  <si>
    <t>+131</t>
  </si>
  <si>
    <t>+250</t>
  </si>
  <si>
    <t>-250</t>
  </si>
  <si>
    <t>+240</t>
  </si>
  <si>
    <t>-240</t>
  </si>
  <si>
    <t>-178</t>
  </si>
  <si>
    <t>+178</t>
  </si>
  <si>
    <t>-251</t>
  </si>
  <si>
    <t>-118</t>
  </si>
  <si>
    <t>+118</t>
  </si>
  <si>
    <t>-319</t>
  </si>
  <si>
    <t>+319</t>
  </si>
  <si>
    <t>-314</t>
  </si>
  <si>
    <t>+314</t>
  </si>
  <si>
    <t>-151</t>
  </si>
  <si>
    <t>+164</t>
  </si>
  <si>
    <t>-164</t>
  </si>
  <si>
    <t>-221</t>
  </si>
  <si>
    <t>+221</t>
  </si>
  <si>
    <t>-130</t>
  </si>
  <si>
    <t>+130</t>
  </si>
  <si>
    <t>-180</t>
  </si>
  <si>
    <t>+180</t>
  </si>
  <si>
    <t>-156</t>
  </si>
  <si>
    <t>+156</t>
  </si>
  <si>
    <t>+125</t>
  </si>
  <si>
    <t>-125</t>
  </si>
  <si>
    <t>-160</t>
  </si>
  <si>
    <t>+109</t>
  </si>
  <si>
    <t>-109</t>
  </si>
  <si>
    <t>-194</t>
  </si>
  <si>
    <t>+194</t>
  </si>
  <si>
    <t>+322</t>
  </si>
  <si>
    <t>-322</t>
  </si>
  <si>
    <t>+293</t>
  </si>
  <si>
    <t>-293</t>
  </si>
  <si>
    <t>-159</t>
  </si>
  <si>
    <t>+159</t>
  </si>
  <si>
    <t>-141</t>
  </si>
  <si>
    <t>+141</t>
  </si>
  <si>
    <t>Win</t>
  </si>
  <si>
    <t>Loss</t>
  </si>
  <si>
    <t>Week</t>
  </si>
  <si>
    <t>Wins</t>
  </si>
  <si>
    <t>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</si>
</sst>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/>
    <xf numFmtId="9" fontId="0" fillId="0" borderId="0" xfId="1" applyFont="1" applyBorder="1"/>
    <xf numFmtId="0" fontId="3" fillId="0" borderId="1" xfId="0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quotePrefix="1"/>
    <xf numFmtId="9" fontId="0" fillId="0" borderId="0" xfId="1" quotePrefix="1" applyFont="1"/>
    <xf numFmtId="9" fontId="0" fillId="0" borderId="0" xfId="1" applyFont="1"/>
    <xf numFmtId="0" fontId="0" fillId="0" borderId="1" xfId="0" applyBorder="1"/>
    <xf numFmtId="9" fontId="0" fillId="0" borderId="1" xfId="1" applyFont="1" applyBorder="1"/>
    <xf numFmtId="165" fontId="0" fillId="0" borderId="1" xfId="0" quotePrefix="1" applyNumberFormat="1" applyBorder="1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1" applyFont="1" applyBorder="1" applyAlignment="1">
      <alignment horizontal="center"/>
    </xf>
    <xf numFmtId="0" fontId="3" fillId="0" borderId="0" xfId="0" applyFont="1"/>
    <xf numFmtId="164" fontId="0" fillId="0" borderId="1" xfId="1" applyNumberFormat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2420-1D15-E549-AAF4-FB71DE782F62}">
  <dimension ref="B2:AH202"/>
  <sheetViews>
    <sheetView workbookViewId="0">
      <pane ySplit="8" topLeftCell="A172" activePane="bottomLeft" state="frozen"/>
      <selection pane="bottomLeft" activeCell="B187" sqref="B187:AH202"/>
    </sheetView>
  </sheetViews>
  <sheetFormatPr baseColWidth="10" defaultRowHeight="15" x14ac:dyDescent="0.2"/>
  <cols>
    <col min="1" max="1" width="8.1640625" customWidth="1"/>
    <col min="2" max="3" width="9.5" customWidth="1"/>
    <col min="4" max="4" width="10.5" bestFit="1" customWidth="1"/>
    <col min="5" max="5" width="9.83203125" bestFit="1" customWidth="1"/>
    <col min="6" max="6" width="10.6640625" bestFit="1" customWidth="1"/>
    <col min="7" max="7" width="10" bestFit="1" customWidth="1"/>
    <col min="8" max="8" width="10.1640625" bestFit="1" customWidth="1"/>
    <col min="9" max="9" width="13.33203125" bestFit="1" customWidth="1"/>
    <col min="10" max="10" width="9.5" bestFit="1" customWidth="1"/>
    <col min="11" max="11" width="12.6640625" bestFit="1" customWidth="1"/>
    <col min="12" max="12" width="4.83203125" bestFit="1" customWidth="1"/>
    <col min="13" max="13" width="6.6640625" bestFit="1" customWidth="1"/>
    <col min="14" max="14" width="14" bestFit="1" customWidth="1"/>
    <col min="15" max="16" width="11.5" customWidth="1"/>
    <col min="17" max="17" width="10.1640625" bestFit="1" customWidth="1"/>
    <col min="18" max="18" width="10.83203125" bestFit="1" customWidth="1"/>
    <col min="19" max="19" width="10.33203125" bestFit="1" customWidth="1"/>
    <col min="20" max="20" width="7" customWidth="1"/>
    <col min="21" max="21" width="11.6640625" bestFit="1" customWidth="1"/>
    <col min="22" max="22" width="13.6640625" bestFit="1" customWidth="1"/>
    <col min="23" max="23" width="8.6640625" bestFit="1" customWidth="1"/>
    <col min="24" max="24" width="9.33203125" bestFit="1" customWidth="1"/>
    <col min="25" max="25" width="8.83203125" bestFit="1" customWidth="1"/>
    <col min="26" max="26" width="4.83203125" bestFit="1" customWidth="1"/>
    <col min="27" max="27" width="10.1640625" bestFit="1" customWidth="1"/>
    <col min="28" max="28" width="12.1640625" bestFit="1" customWidth="1"/>
    <col min="29" max="30" width="10.1640625" bestFit="1" customWidth="1"/>
    <col min="31" max="31" width="10.6640625" bestFit="1" customWidth="1"/>
    <col min="32" max="33" width="10.1640625" bestFit="1" customWidth="1"/>
    <col min="34" max="34" width="10.6640625" bestFit="1" customWidth="1"/>
  </cols>
  <sheetData>
    <row r="2" spans="2:34" x14ac:dyDescent="0.2">
      <c r="C2" s="7" t="s">
        <v>63</v>
      </c>
      <c r="D2" s="7" t="s">
        <v>220</v>
      </c>
      <c r="E2" s="7" t="s">
        <v>221</v>
      </c>
      <c r="F2" s="7" t="s">
        <v>65</v>
      </c>
      <c r="G2" s="16"/>
    </row>
    <row r="3" spans="2:34" x14ac:dyDescent="0.2">
      <c r="B3" s="7" t="s">
        <v>145</v>
      </c>
      <c r="C3" s="13">
        <f>COUNTA(N9:N1000)</f>
        <v>194</v>
      </c>
      <c r="D3" s="13">
        <f>SUM(N9:N1000)</f>
        <v>120</v>
      </c>
      <c r="E3" s="13">
        <f>C3-D3</f>
        <v>74</v>
      </c>
      <c r="F3" s="19">
        <f>D3/C3</f>
        <v>0.61855670103092786</v>
      </c>
      <c r="G3" s="6"/>
    </row>
    <row r="4" spans="2:34" x14ac:dyDescent="0.2">
      <c r="B4" s="7" t="s">
        <v>146</v>
      </c>
      <c r="C4" s="13">
        <f>COUNTA(V9:V1000)</f>
        <v>123</v>
      </c>
      <c r="D4" s="13">
        <f>SUM(V9:V1000)</f>
        <v>65</v>
      </c>
      <c r="E4" s="13">
        <f>C4-D4</f>
        <v>58</v>
      </c>
      <c r="F4" s="14">
        <f>D4/C4</f>
        <v>0.52845528455284552</v>
      </c>
      <c r="G4" s="6"/>
    </row>
    <row r="5" spans="2:34" x14ac:dyDescent="0.2">
      <c r="B5" s="7" t="s">
        <v>150</v>
      </c>
      <c r="C5" s="13">
        <f>COUNTA(AB9:AB1000)</f>
        <v>123</v>
      </c>
      <c r="D5" s="13">
        <f>SUM(AB9:AB1000)</f>
        <v>56</v>
      </c>
      <c r="E5" s="13">
        <f>C5-D5</f>
        <v>67</v>
      </c>
      <c r="F5" s="14">
        <f>D5/C5</f>
        <v>0.45528455284552843</v>
      </c>
      <c r="G5" s="6"/>
    </row>
    <row r="6" spans="2:34" x14ac:dyDescent="0.2">
      <c r="B6" s="16"/>
      <c r="C6" s="17"/>
    </row>
    <row r="7" spans="2:34" x14ac:dyDescent="0.2">
      <c r="H7" s="20" t="s">
        <v>142</v>
      </c>
      <c r="I7" s="20"/>
      <c r="J7" s="20"/>
      <c r="K7" s="20"/>
      <c r="L7" s="20"/>
      <c r="M7" s="20"/>
      <c r="N7" s="20"/>
      <c r="O7" s="20" t="s">
        <v>149</v>
      </c>
      <c r="P7" s="20"/>
      <c r="Q7" s="20" t="s">
        <v>143</v>
      </c>
      <c r="R7" s="20"/>
      <c r="S7" s="20"/>
      <c r="T7" s="20"/>
      <c r="U7" s="20"/>
      <c r="V7" s="20"/>
      <c r="W7" s="20" t="s">
        <v>144</v>
      </c>
      <c r="X7" s="20"/>
      <c r="Y7" s="20"/>
      <c r="Z7" s="20"/>
      <c r="AA7" s="20"/>
      <c r="AB7" s="20"/>
      <c r="AC7" s="20" t="s">
        <v>55</v>
      </c>
      <c r="AD7" s="20"/>
      <c r="AE7" s="20"/>
      <c r="AF7" s="20" t="s">
        <v>56</v>
      </c>
      <c r="AG7" s="20"/>
      <c r="AH7" s="20"/>
    </row>
    <row r="8" spans="2:34" x14ac:dyDescent="0.2">
      <c r="B8" s="1" t="s">
        <v>0</v>
      </c>
      <c r="C8" s="1" t="s">
        <v>1</v>
      </c>
      <c r="D8" s="1" t="s">
        <v>2</v>
      </c>
      <c r="E8" s="1" t="s">
        <v>3</v>
      </c>
      <c r="F8" s="1" t="s">
        <v>151</v>
      </c>
      <c r="G8" s="1" t="s">
        <v>152</v>
      </c>
      <c r="H8" s="1" t="s">
        <v>4</v>
      </c>
      <c r="I8" s="1" t="s">
        <v>7</v>
      </c>
      <c r="J8" s="1" t="s">
        <v>5</v>
      </c>
      <c r="K8" s="1" t="s">
        <v>8</v>
      </c>
      <c r="L8" s="1" t="s">
        <v>6</v>
      </c>
      <c r="M8" s="1" t="s">
        <v>9</v>
      </c>
      <c r="N8" s="1" t="s">
        <v>129</v>
      </c>
      <c r="O8" s="1" t="s">
        <v>139</v>
      </c>
      <c r="P8" s="1" t="s">
        <v>138</v>
      </c>
      <c r="Q8" s="1" t="s">
        <v>126</v>
      </c>
      <c r="R8" s="1" t="s">
        <v>127</v>
      </c>
      <c r="S8" s="1" t="s">
        <v>130</v>
      </c>
      <c r="T8" s="1" t="s">
        <v>131</v>
      </c>
      <c r="U8" s="1" t="s">
        <v>132</v>
      </c>
      <c r="V8" s="1" t="s">
        <v>133</v>
      </c>
      <c r="W8" s="1" t="s">
        <v>128</v>
      </c>
      <c r="X8" s="1" t="s">
        <v>148</v>
      </c>
      <c r="Y8" s="1" t="s">
        <v>134</v>
      </c>
      <c r="Z8" s="1" t="s">
        <v>135</v>
      </c>
      <c r="AA8" s="1" t="s">
        <v>136</v>
      </c>
      <c r="AB8" s="1" t="s">
        <v>137</v>
      </c>
      <c r="AC8" s="1" t="s">
        <v>57</v>
      </c>
      <c r="AD8" s="1" t="s">
        <v>58</v>
      </c>
      <c r="AE8" s="1" t="s">
        <v>59</v>
      </c>
      <c r="AF8" s="1" t="s">
        <v>57</v>
      </c>
      <c r="AG8" s="1" t="s">
        <v>58</v>
      </c>
      <c r="AH8" s="1" t="s">
        <v>59</v>
      </c>
    </row>
    <row r="9" spans="2:34" x14ac:dyDescent="0.2">
      <c r="B9" s="4">
        <v>2025</v>
      </c>
      <c r="C9" s="4">
        <v>6</v>
      </c>
      <c r="D9" s="4" t="s">
        <v>10</v>
      </c>
      <c r="E9" s="4" t="s">
        <v>11</v>
      </c>
      <c r="F9" s="4"/>
      <c r="G9" s="4"/>
      <c r="H9" s="3">
        <v>0.28413916801677003</v>
      </c>
      <c r="I9" s="4" t="s">
        <v>12</v>
      </c>
      <c r="J9" s="3">
        <v>0.71586083198323003</v>
      </c>
      <c r="K9" s="4">
        <v>-251</v>
      </c>
      <c r="L9" s="4" t="s">
        <v>11</v>
      </c>
      <c r="M9" s="4" t="s">
        <v>10</v>
      </c>
      <c r="N9" s="4">
        <f>IF(M9=L9,1,0)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5">
        <v>0.25124220917190332</v>
      </c>
      <c r="AD9" s="5">
        <v>6.6168525762725292E-2</v>
      </c>
      <c r="AE9" s="5">
        <v>-2.7362438348623421E-2</v>
      </c>
      <c r="AF9" s="5">
        <v>-6.6168525762725292E-2</v>
      </c>
      <c r="AG9" s="5">
        <v>-0.25124220917190332</v>
      </c>
      <c r="AH9" s="5">
        <v>2.7362438348623421E-2</v>
      </c>
    </row>
    <row r="10" spans="2:34" x14ac:dyDescent="0.2">
      <c r="B10" s="4">
        <v>2025</v>
      </c>
      <c r="C10" s="4">
        <v>6</v>
      </c>
      <c r="D10" s="4" t="s">
        <v>13</v>
      </c>
      <c r="E10" s="4" t="s">
        <v>14</v>
      </c>
      <c r="F10" s="4"/>
      <c r="G10" s="4"/>
      <c r="H10" s="3">
        <v>0.30012096252550818</v>
      </c>
      <c r="I10" s="4" t="s">
        <v>15</v>
      </c>
      <c r="J10" s="3">
        <v>0.69987903747449176</v>
      </c>
      <c r="K10" s="4">
        <v>-233</v>
      </c>
      <c r="L10" s="4" t="s">
        <v>14</v>
      </c>
      <c r="M10" s="4" t="s">
        <v>14</v>
      </c>
      <c r="N10" s="4">
        <f t="shared" ref="N10:N23" si="0">IF(M10=L10,1,0)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>
        <v>-0.43215488565379201</v>
      </c>
      <c r="AD10" s="5">
        <v>0.16995372772216799</v>
      </c>
      <c r="AE10" s="5">
        <v>0.34083964143480572</v>
      </c>
      <c r="AF10" s="5">
        <v>-0.16995372772216799</v>
      </c>
      <c r="AG10" s="5">
        <v>0.43215488565379168</v>
      </c>
      <c r="AH10" s="5">
        <v>-0.34083964143480572</v>
      </c>
    </row>
    <row r="11" spans="2:34" x14ac:dyDescent="0.2">
      <c r="B11" s="4">
        <v>2025</v>
      </c>
      <c r="C11" s="4">
        <v>6</v>
      </c>
      <c r="D11" s="4" t="s">
        <v>16</v>
      </c>
      <c r="E11" s="4" t="s">
        <v>17</v>
      </c>
      <c r="F11" s="4"/>
      <c r="G11" s="4"/>
      <c r="H11" s="3">
        <v>0.5391317363751863</v>
      </c>
      <c r="I11" s="4">
        <v>-116</v>
      </c>
      <c r="J11" s="3">
        <v>0.4608682636248137</v>
      </c>
      <c r="K11" s="4" t="s">
        <v>18</v>
      </c>
      <c r="L11" s="4" t="s">
        <v>16</v>
      </c>
      <c r="M11" s="4" t="s">
        <v>17</v>
      </c>
      <c r="N11" s="4">
        <f t="shared" si="0"/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>
        <v>-0.29375996589660652</v>
      </c>
      <c r="AD11" s="5">
        <v>-1.597554523211259E-2</v>
      </c>
      <c r="AE11" s="5">
        <v>0.37059371812003</v>
      </c>
      <c r="AF11" s="5">
        <v>1.597554523211259E-2</v>
      </c>
      <c r="AG11" s="5">
        <v>0.29375996589660652</v>
      </c>
      <c r="AH11" s="5">
        <v>-0.37059371812003</v>
      </c>
    </row>
    <row r="12" spans="2:34" x14ac:dyDescent="0.2">
      <c r="B12" s="4">
        <v>2025</v>
      </c>
      <c r="C12" s="4">
        <v>6</v>
      </c>
      <c r="D12" s="4" t="s">
        <v>19</v>
      </c>
      <c r="E12" s="4" t="s">
        <v>20</v>
      </c>
      <c r="F12" s="4"/>
      <c r="G12" s="4"/>
      <c r="H12" s="3">
        <v>0.49133872521191652</v>
      </c>
      <c r="I12" s="4" t="s">
        <v>21</v>
      </c>
      <c r="J12" s="3">
        <v>0.50866127478808343</v>
      </c>
      <c r="K12" s="4">
        <v>-103</v>
      </c>
      <c r="L12" s="4" t="s">
        <v>20</v>
      </c>
      <c r="M12" s="4" t="s">
        <v>19</v>
      </c>
      <c r="N12" s="4">
        <f t="shared" si="0"/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>
        <v>0.1778987058952673</v>
      </c>
      <c r="AD12" s="5">
        <v>-0.20278739929199219</v>
      </c>
      <c r="AE12" s="5">
        <v>2.426927856036595E-2</v>
      </c>
      <c r="AF12" s="5">
        <v>0.20278739929199219</v>
      </c>
      <c r="AG12" s="5">
        <v>-0.1778987058952673</v>
      </c>
      <c r="AH12" s="5">
        <v>-2.426927856036595E-2</v>
      </c>
    </row>
    <row r="13" spans="2:34" x14ac:dyDescent="0.2">
      <c r="B13" s="4">
        <v>2025</v>
      </c>
      <c r="C13" s="4">
        <v>6</v>
      </c>
      <c r="D13" s="4" t="s">
        <v>22</v>
      </c>
      <c r="E13" s="4" t="s">
        <v>23</v>
      </c>
      <c r="F13" s="4"/>
      <c r="G13" s="4"/>
      <c r="H13" s="3">
        <v>0.58161291372888979</v>
      </c>
      <c r="I13" s="4">
        <v>-139</v>
      </c>
      <c r="J13" s="3">
        <v>0.41838708627111021</v>
      </c>
      <c r="K13" s="4" t="s">
        <v>24</v>
      </c>
      <c r="L13" s="4" t="s">
        <v>22</v>
      </c>
      <c r="M13" s="4" t="s">
        <v>22</v>
      </c>
      <c r="N13" s="4">
        <f t="shared" si="0"/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5">
        <v>0.15875688092461951</v>
      </c>
      <c r="AD13" s="5">
        <v>-7.3672771453857422E-2</v>
      </c>
      <c r="AE13" s="5">
        <v>-6.2292337417602539E-2</v>
      </c>
      <c r="AF13" s="5">
        <v>7.3672771453857422E-2</v>
      </c>
      <c r="AG13" s="5">
        <v>-0.15875688092461951</v>
      </c>
      <c r="AH13" s="5">
        <v>6.2292337417602539E-2</v>
      </c>
    </row>
    <row r="14" spans="2:34" x14ac:dyDescent="0.2">
      <c r="B14" s="4">
        <v>2025</v>
      </c>
      <c r="C14" s="4">
        <v>6</v>
      </c>
      <c r="D14" s="4" t="s">
        <v>25</v>
      </c>
      <c r="E14" s="4" t="s">
        <v>26</v>
      </c>
      <c r="F14" s="4"/>
      <c r="G14" s="4"/>
      <c r="H14" s="3">
        <v>0.46542939043507342</v>
      </c>
      <c r="I14" s="4" t="s">
        <v>27</v>
      </c>
      <c r="J14" s="3">
        <v>0.53457060956492664</v>
      </c>
      <c r="K14" s="4">
        <v>-114</v>
      </c>
      <c r="L14" s="4" t="s">
        <v>26</v>
      </c>
      <c r="M14" s="4" t="s">
        <v>26</v>
      </c>
      <c r="N14" s="4">
        <f t="shared" si="0"/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>
        <v>-8.2264423370361328E-2</v>
      </c>
      <c r="AD14" s="5">
        <v>-2.092841267585754E-2</v>
      </c>
      <c r="AE14" s="5">
        <v>-0.20806896686553961</v>
      </c>
      <c r="AF14" s="5">
        <v>2.092841267585754E-2</v>
      </c>
      <c r="AG14" s="5">
        <v>8.2264423370361328E-2</v>
      </c>
      <c r="AH14" s="5">
        <v>0.20806896686553961</v>
      </c>
    </row>
    <row r="15" spans="2:34" x14ac:dyDescent="0.2">
      <c r="B15" s="4">
        <v>2025</v>
      </c>
      <c r="C15" s="4">
        <v>6</v>
      </c>
      <c r="D15" s="4" t="s">
        <v>28</v>
      </c>
      <c r="E15" s="4" t="s">
        <v>29</v>
      </c>
      <c r="F15" s="4"/>
      <c r="G15" s="4"/>
      <c r="H15" s="3">
        <v>0.49333609562736308</v>
      </c>
      <c r="I15" s="4" t="s">
        <v>30</v>
      </c>
      <c r="J15" s="3">
        <v>0.50666390437263686</v>
      </c>
      <c r="K15" s="4">
        <v>-102</v>
      </c>
      <c r="L15" s="4" t="s">
        <v>29</v>
      </c>
      <c r="M15" s="4" t="s">
        <v>29</v>
      </c>
      <c r="N15" s="4">
        <f t="shared" si="0"/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5">
        <v>3.8278063138326011E-2</v>
      </c>
      <c r="AD15" s="5">
        <v>-6.1747200348797958E-2</v>
      </c>
      <c r="AE15" s="5">
        <v>-1.3840508460998539E-2</v>
      </c>
      <c r="AF15" s="5">
        <v>6.1747200348797958E-2</v>
      </c>
      <c r="AG15" s="5">
        <v>-3.8278063138326011E-2</v>
      </c>
      <c r="AH15" s="5">
        <v>1.3840508460998539E-2</v>
      </c>
    </row>
    <row r="16" spans="2:34" x14ac:dyDescent="0.2">
      <c r="B16" s="4">
        <v>2025</v>
      </c>
      <c r="C16" s="4">
        <v>6</v>
      </c>
      <c r="D16" s="4" t="s">
        <v>31</v>
      </c>
      <c r="E16" s="4" t="s">
        <v>32</v>
      </c>
      <c r="F16" s="4"/>
      <c r="G16" s="4"/>
      <c r="H16" s="3">
        <v>0.39499877434716879</v>
      </c>
      <c r="I16" s="4" t="s">
        <v>33</v>
      </c>
      <c r="J16" s="3">
        <v>0.60500122565283121</v>
      </c>
      <c r="K16" s="4">
        <v>-153</v>
      </c>
      <c r="L16" s="4" t="s">
        <v>32</v>
      </c>
      <c r="M16" s="4" t="s">
        <v>32</v>
      </c>
      <c r="N16" s="4">
        <f t="shared" si="0"/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5">
        <v>-7.3139173942699767E-2</v>
      </c>
      <c r="AD16" s="5">
        <v>-0.13044801354408261</v>
      </c>
      <c r="AE16" s="5">
        <v>0.13509109119574231</v>
      </c>
      <c r="AF16" s="5">
        <v>0.13044801354408261</v>
      </c>
      <c r="AG16" s="5">
        <v>7.3139173942699767E-2</v>
      </c>
      <c r="AH16" s="5">
        <v>-0.13509109119574231</v>
      </c>
    </row>
    <row r="17" spans="2:34" x14ac:dyDescent="0.2">
      <c r="B17" s="4">
        <v>2025</v>
      </c>
      <c r="C17" s="4">
        <v>6</v>
      </c>
      <c r="D17" s="4" t="s">
        <v>34</v>
      </c>
      <c r="E17" s="4" t="s">
        <v>35</v>
      </c>
      <c r="F17" s="4"/>
      <c r="G17" s="4"/>
      <c r="H17" s="3">
        <v>0.71805668043681292</v>
      </c>
      <c r="I17" s="4">
        <v>-254</v>
      </c>
      <c r="J17" s="3">
        <v>0.28194331956318708</v>
      </c>
      <c r="K17" s="4" t="s">
        <v>36</v>
      </c>
      <c r="L17" s="4" t="s">
        <v>34</v>
      </c>
      <c r="M17" s="4" t="s">
        <v>34</v>
      </c>
      <c r="N17" s="4">
        <f t="shared" si="0"/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5">
        <v>9.5861426570959252E-2</v>
      </c>
      <c r="AD17" s="5">
        <v>0.13702201843261719</v>
      </c>
      <c r="AE17" s="5">
        <v>-0.1466665863990784</v>
      </c>
      <c r="AF17" s="5">
        <v>-0.13702201843261719</v>
      </c>
      <c r="AG17" s="5">
        <v>-9.5861426570959252E-2</v>
      </c>
      <c r="AH17" s="5">
        <v>0.1466665863990784</v>
      </c>
    </row>
    <row r="18" spans="2:34" x14ac:dyDescent="0.2">
      <c r="B18" s="4">
        <v>2025</v>
      </c>
      <c r="C18" s="4">
        <v>6</v>
      </c>
      <c r="D18" s="4" t="s">
        <v>37</v>
      </c>
      <c r="E18" s="4" t="s">
        <v>38</v>
      </c>
      <c r="F18" s="4"/>
      <c r="G18" s="4"/>
      <c r="H18" s="3">
        <v>0.60215188079057347</v>
      </c>
      <c r="I18" s="4">
        <v>-151</v>
      </c>
      <c r="J18" s="3">
        <v>0.39784811920942648</v>
      </c>
      <c r="K18" s="4" t="s">
        <v>39</v>
      </c>
      <c r="L18" s="4" t="s">
        <v>37</v>
      </c>
      <c r="M18" s="4" t="s">
        <v>37</v>
      </c>
      <c r="N18" s="4">
        <f t="shared" si="0"/>
        <v>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>
        <v>-9.7661510842745422E-2</v>
      </c>
      <c r="AD18" s="5">
        <v>0.24401584748298891</v>
      </c>
      <c r="AE18" s="5">
        <v>0.1949815698291944</v>
      </c>
      <c r="AF18" s="5">
        <v>-0.24401584748298891</v>
      </c>
      <c r="AG18" s="5">
        <v>9.7661510842745422E-2</v>
      </c>
      <c r="AH18" s="5">
        <v>-0.1949815698291944</v>
      </c>
    </row>
    <row r="19" spans="2:34" x14ac:dyDescent="0.2">
      <c r="B19" s="4">
        <v>2025</v>
      </c>
      <c r="C19" s="4">
        <v>6</v>
      </c>
      <c r="D19" s="4" t="s">
        <v>40</v>
      </c>
      <c r="E19" s="4" t="s">
        <v>41</v>
      </c>
      <c r="F19" s="4"/>
      <c r="G19" s="4"/>
      <c r="H19" s="3">
        <v>0.72152836035036028</v>
      </c>
      <c r="I19" s="4">
        <v>-259</v>
      </c>
      <c r="J19" s="3">
        <v>0.27847163964963972</v>
      </c>
      <c r="K19" s="4" t="s">
        <v>42</v>
      </c>
      <c r="L19" s="4" t="s">
        <v>40</v>
      </c>
      <c r="M19" s="4" t="s">
        <v>40</v>
      </c>
      <c r="N19" s="4">
        <f t="shared" si="0"/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5">
        <v>0.21342838605244949</v>
      </c>
      <c r="AD19" s="5">
        <v>-0.10244938043447641</v>
      </c>
      <c r="AE19" s="5">
        <v>8.9890928268432618E-2</v>
      </c>
      <c r="AF19" s="5">
        <v>0.10244938043447641</v>
      </c>
      <c r="AG19" s="5">
        <v>-0.21342838605244949</v>
      </c>
      <c r="AH19" s="5">
        <v>-8.9890928268432618E-2</v>
      </c>
    </row>
    <row r="20" spans="2:34" x14ac:dyDescent="0.2">
      <c r="B20" s="4">
        <v>2025</v>
      </c>
      <c r="C20" s="4">
        <v>6</v>
      </c>
      <c r="D20" s="4" t="s">
        <v>43</v>
      </c>
      <c r="E20" s="4" t="s">
        <v>44</v>
      </c>
      <c r="F20" s="4"/>
      <c r="G20" s="4"/>
      <c r="H20" s="3">
        <v>0.59882672321324404</v>
      </c>
      <c r="I20" s="4">
        <v>-149</v>
      </c>
      <c r="J20" s="3">
        <v>0.40117327678675602</v>
      </c>
      <c r="K20" s="4" t="s">
        <v>45</v>
      </c>
      <c r="L20" s="4" t="s">
        <v>43</v>
      </c>
      <c r="M20" s="4" t="s">
        <v>43</v>
      </c>
      <c r="N20" s="4">
        <f t="shared" si="0"/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5">
        <v>0.24584000065641581</v>
      </c>
      <c r="AD20" s="5">
        <v>0.11939342816670739</v>
      </c>
      <c r="AE20" s="5">
        <v>-0.28655227908381709</v>
      </c>
      <c r="AF20" s="5">
        <v>-0.11939342816670739</v>
      </c>
      <c r="AG20" s="5">
        <v>-0.24584000065641581</v>
      </c>
      <c r="AH20" s="5">
        <v>0.28655227908381709</v>
      </c>
    </row>
    <row r="21" spans="2:34" x14ac:dyDescent="0.2">
      <c r="B21" s="4">
        <v>2025</v>
      </c>
      <c r="C21" s="4">
        <v>6</v>
      </c>
      <c r="D21" s="4" t="s">
        <v>46</v>
      </c>
      <c r="E21" s="4" t="s">
        <v>47</v>
      </c>
      <c r="F21" s="4"/>
      <c r="G21" s="4"/>
      <c r="H21" s="3">
        <v>0.36153706680294762</v>
      </c>
      <c r="I21" s="4" t="s">
        <v>48</v>
      </c>
      <c r="J21" s="3">
        <v>0.63846293319705238</v>
      </c>
      <c r="K21" s="4">
        <v>-176</v>
      </c>
      <c r="L21" s="4" t="s">
        <v>47</v>
      </c>
      <c r="M21" s="4" t="s">
        <v>46</v>
      </c>
      <c r="N21" s="4">
        <f t="shared" si="0"/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5">
        <v>0.31075544357299811</v>
      </c>
      <c r="AD21" s="5">
        <v>-8.2664749839089127E-2</v>
      </c>
      <c r="AE21" s="5">
        <v>-4.2046240784905176E-3</v>
      </c>
      <c r="AF21" s="5">
        <v>8.2664749839089127E-2</v>
      </c>
      <c r="AG21" s="5">
        <v>-0.31075544357299811</v>
      </c>
      <c r="AH21" s="5">
        <v>4.2046240784905176E-3</v>
      </c>
    </row>
    <row r="22" spans="2:34" x14ac:dyDescent="0.2">
      <c r="B22" s="4">
        <v>2025</v>
      </c>
      <c r="C22" s="4">
        <v>6</v>
      </c>
      <c r="D22" s="4" t="s">
        <v>49</v>
      </c>
      <c r="E22" s="4" t="s">
        <v>50</v>
      </c>
      <c r="F22" s="4"/>
      <c r="G22" s="4"/>
      <c r="H22" s="3">
        <v>0.31839250924053619</v>
      </c>
      <c r="I22" s="4" t="s">
        <v>51</v>
      </c>
      <c r="J22" s="3">
        <v>0.68160749075946381</v>
      </c>
      <c r="K22" s="4">
        <v>-214</v>
      </c>
      <c r="L22" s="4" t="s">
        <v>50</v>
      </c>
      <c r="M22" s="4" t="s">
        <v>49</v>
      </c>
      <c r="N22" s="4">
        <f t="shared" si="0"/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5">
        <v>0.10814125897133189</v>
      </c>
      <c r="AD22" s="5">
        <v>0.10416143818905479</v>
      </c>
      <c r="AE22" s="5">
        <v>-0.1186255013942718</v>
      </c>
      <c r="AF22" s="5">
        <v>-0.10416143818905479</v>
      </c>
      <c r="AG22" s="5">
        <v>-0.10814125897133189</v>
      </c>
      <c r="AH22" s="5">
        <v>0.1186255013942718</v>
      </c>
    </row>
    <row r="23" spans="2:34" x14ac:dyDescent="0.2">
      <c r="B23" s="4">
        <v>2025</v>
      </c>
      <c r="C23" s="4">
        <v>6</v>
      </c>
      <c r="D23" s="4" t="s">
        <v>52</v>
      </c>
      <c r="E23" s="4" t="s">
        <v>53</v>
      </c>
      <c r="F23" s="4"/>
      <c r="G23" s="4"/>
      <c r="H23" s="3">
        <v>0.73154658195912958</v>
      </c>
      <c r="I23" s="4">
        <v>-272</v>
      </c>
      <c r="J23" s="3">
        <v>0.26845341804087042</v>
      </c>
      <c r="K23" s="4" t="s">
        <v>54</v>
      </c>
      <c r="L23" s="4" t="s">
        <v>52</v>
      </c>
      <c r="M23" s="4" t="s">
        <v>53</v>
      </c>
      <c r="N23" s="4">
        <f t="shared" si="0"/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5">
        <v>1.8111467361450199E-2</v>
      </c>
      <c r="AD23" s="5">
        <v>-0.12775089627220521</v>
      </c>
      <c r="AE23" s="5">
        <v>7.1527020931243898E-2</v>
      </c>
      <c r="AF23" s="5">
        <v>0.12775089627220521</v>
      </c>
      <c r="AG23" s="5">
        <v>-1.8111467361450199E-2</v>
      </c>
      <c r="AH23" s="5">
        <v>-7.1527020931243898E-2</v>
      </c>
    </row>
    <row r="24" spans="2:34" x14ac:dyDescent="0.2">
      <c r="B24" s="4">
        <v>2025</v>
      </c>
      <c r="C24" s="4">
        <v>7</v>
      </c>
      <c r="D24" s="4" t="s">
        <v>41</v>
      </c>
      <c r="E24" s="4" t="s">
        <v>34</v>
      </c>
      <c r="F24" s="4"/>
      <c r="G24" s="4"/>
      <c r="H24" s="3">
        <v>0.48091505618325198</v>
      </c>
      <c r="I24" s="4" t="s">
        <v>72</v>
      </c>
      <c r="J24" s="3">
        <v>0.51908494381674797</v>
      </c>
      <c r="K24" s="4">
        <v>-107</v>
      </c>
      <c r="L24" s="4" t="s">
        <v>34</v>
      </c>
      <c r="M24" s="4" t="s">
        <v>41</v>
      </c>
      <c r="N24" s="4"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9"/>
      <c r="AC24" s="5">
        <v>0.2892564309609903</v>
      </c>
      <c r="AD24" s="5">
        <v>-0.27371408199441838</v>
      </c>
      <c r="AE24" s="5">
        <v>-7.6034887631734216E-2</v>
      </c>
      <c r="AF24" s="5">
        <v>0.27371408199441838</v>
      </c>
      <c r="AG24" s="5">
        <v>-0.2892564309609903</v>
      </c>
      <c r="AH24" s="5">
        <v>7.6034887631734216E-2</v>
      </c>
    </row>
    <row r="25" spans="2:34" x14ac:dyDescent="0.2">
      <c r="B25" s="4">
        <v>2025</v>
      </c>
      <c r="C25" s="4">
        <v>7</v>
      </c>
      <c r="D25" s="4" t="s">
        <v>25</v>
      </c>
      <c r="E25" s="4" t="s">
        <v>17</v>
      </c>
      <c r="F25" s="4"/>
      <c r="G25" s="4"/>
      <c r="H25" s="3">
        <v>0.4697770280181664</v>
      </c>
      <c r="I25" s="4" t="s">
        <v>73</v>
      </c>
      <c r="J25" s="3">
        <v>0.53022297198183366</v>
      </c>
      <c r="K25" s="4">
        <v>-112</v>
      </c>
      <c r="L25" s="4" t="s">
        <v>17</v>
      </c>
      <c r="M25" s="4" t="s">
        <v>17</v>
      </c>
      <c r="N25" s="4"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9"/>
      <c r="AC25" s="5">
        <v>-0.14610879849164921</v>
      </c>
      <c r="AD25" s="5">
        <v>-0.23843634306494871</v>
      </c>
      <c r="AE25" s="5">
        <v>-0.2017850828170776</v>
      </c>
      <c r="AF25" s="5">
        <v>0.23843634306494871</v>
      </c>
      <c r="AG25" s="5">
        <v>0.14610879849164921</v>
      </c>
      <c r="AH25" s="5">
        <v>0.2017850828170776</v>
      </c>
    </row>
    <row r="26" spans="2:34" x14ac:dyDescent="0.2">
      <c r="B26" s="4">
        <v>2025</v>
      </c>
      <c r="C26" s="4">
        <v>7</v>
      </c>
      <c r="D26" s="4" t="s">
        <v>53</v>
      </c>
      <c r="E26" s="4" t="s">
        <v>31</v>
      </c>
      <c r="F26" s="4"/>
      <c r="G26" s="4"/>
      <c r="H26" s="3">
        <v>0.58504581457007887</v>
      </c>
      <c r="I26" s="4">
        <v>-140</v>
      </c>
      <c r="J26" s="3">
        <v>0.41495418542992107</v>
      </c>
      <c r="K26" s="4" t="s">
        <v>74</v>
      </c>
      <c r="L26" s="4" t="s">
        <v>53</v>
      </c>
      <c r="M26" s="4" t="s">
        <v>53</v>
      </c>
      <c r="N26" s="4"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9"/>
      <c r="AC26" s="5">
        <v>1.3481160004933679E-2</v>
      </c>
      <c r="AD26" s="5">
        <v>0.22400876095420441</v>
      </c>
      <c r="AE26" s="5">
        <v>0.19784312725067141</v>
      </c>
      <c r="AF26" s="5">
        <v>-0.22400876095420441</v>
      </c>
      <c r="AG26" s="5">
        <v>-1.3481160004933679E-2</v>
      </c>
      <c r="AH26" s="5">
        <v>-0.19784312725067141</v>
      </c>
    </row>
    <row r="27" spans="2:34" x14ac:dyDescent="0.2">
      <c r="B27" s="4">
        <v>2025</v>
      </c>
      <c r="C27" s="4">
        <v>7</v>
      </c>
      <c r="D27" s="4" t="s">
        <v>35</v>
      </c>
      <c r="E27" s="4" t="s">
        <v>28</v>
      </c>
      <c r="F27" s="4"/>
      <c r="G27" s="4"/>
      <c r="H27" s="3">
        <v>0.33682566152992921</v>
      </c>
      <c r="I27" s="4" t="s">
        <v>75</v>
      </c>
      <c r="J27" s="3">
        <v>0.66317433847007079</v>
      </c>
      <c r="K27" s="4">
        <v>-196</v>
      </c>
      <c r="L27" s="4" t="s">
        <v>28</v>
      </c>
      <c r="M27" s="4" t="s">
        <v>35</v>
      </c>
      <c r="N27" s="4"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9"/>
      <c r="AC27" s="5">
        <v>-1.7893692542766699E-2</v>
      </c>
      <c r="AD27" s="5">
        <v>0.51155988631709925</v>
      </c>
      <c r="AE27" s="5">
        <v>6.3372168540954593E-2</v>
      </c>
      <c r="AF27" s="5">
        <v>-0.51155988631709925</v>
      </c>
      <c r="AG27" s="5">
        <v>1.7893692542766699E-2</v>
      </c>
      <c r="AH27" s="5">
        <v>-6.3372168540954593E-2</v>
      </c>
    </row>
    <row r="28" spans="2:34" x14ac:dyDescent="0.2">
      <c r="B28" s="4">
        <v>2025</v>
      </c>
      <c r="C28" s="4">
        <v>7</v>
      </c>
      <c r="D28" s="4" t="s">
        <v>46</v>
      </c>
      <c r="E28" s="4" t="s">
        <v>37</v>
      </c>
      <c r="F28" s="4"/>
      <c r="G28" s="4"/>
      <c r="H28" s="3">
        <v>0.76251043499877103</v>
      </c>
      <c r="I28" s="4">
        <v>-321</v>
      </c>
      <c r="J28" s="3">
        <v>0.237489565001229</v>
      </c>
      <c r="K28" s="4" t="s">
        <v>76</v>
      </c>
      <c r="L28" s="4" t="s">
        <v>46</v>
      </c>
      <c r="M28" s="4" t="s">
        <v>46</v>
      </c>
      <c r="N28" s="4"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9"/>
      <c r="AC28" s="5">
        <v>0.21717309951782229</v>
      </c>
      <c r="AD28" s="5">
        <v>0.62946068899972096</v>
      </c>
      <c r="AE28" s="5">
        <v>-0.24452790759858631</v>
      </c>
      <c r="AF28" s="5">
        <v>-0.62946068899972096</v>
      </c>
      <c r="AG28" s="5">
        <v>-0.21717309951782229</v>
      </c>
      <c r="AH28" s="5">
        <v>0.24452790759858631</v>
      </c>
    </row>
    <row r="29" spans="2:34" x14ac:dyDescent="0.2">
      <c r="B29" s="4">
        <v>2025</v>
      </c>
      <c r="C29" s="4">
        <v>7</v>
      </c>
      <c r="D29" s="4" t="s">
        <v>77</v>
      </c>
      <c r="E29" s="4" t="s">
        <v>11</v>
      </c>
      <c r="F29" s="4"/>
      <c r="G29" s="4"/>
      <c r="H29" s="3">
        <v>0.46008667986423529</v>
      </c>
      <c r="I29" s="4" t="s">
        <v>78</v>
      </c>
      <c r="J29" s="3">
        <v>0.53991332013576465</v>
      </c>
      <c r="K29" s="4">
        <v>-117</v>
      </c>
      <c r="L29" s="4" t="s">
        <v>11</v>
      </c>
      <c r="M29" s="4" t="s">
        <v>11</v>
      </c>
      <c r="N29" s="4">
        <v>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9"/>
      <c r="AC29" s="5">
        <v>-8.8495226873867752E-2</v>
      </c>
      <c r="AD29" s="5">
        <v>-0.2084794616699219</v>
      </c>
      <c r="AE29" s="5">
        <v>0.33452468448215061</v>
      </c>
      <c r="AF29" s="5">
        <v>0.2084794616699219</v>
      </c>
      <c r="AG29" s="5">
        <v>8.8495226873867752E-2</v>
      </c>
      <c r="AH29" s="5">
        <v>-0.33452468448215061</v>
      </c>
    </row>
    <row r="30" spans="2:34" x14ac:dyDescent="0.2">
      <c r="B30" s="4">
        <v>2025</v>
      </c>
      <c r="C30" s="4">
        <v>7</v>
      </c>
      <c r="D30" s="4" t="s">
        <v>13</v>
      </c>
      <c r="E30" s="4" t="s">
        <v>19</v>
      </c>
      <c r="F30" s="4"/>
      <c r="G30" s="4"/>
      <c r="H30" s="3">
        <v>0.43942512712718601</v>
      </c>
      <c r="I30" s="4" t="s">
        <v>79</v>
      </c>
      <c r="J30" s="3">
        <v>0.56057487287281405</v>
      </c>
      <c r="K30" s="4">
        <v>-127</v>
      </c>
      <c r="L30" s="4" t="s">
        <v>19</v>
      </c>
      <c r="M30" s="4" t="s">
        <v>19</v>
      </c>
      <c r="N30" s="4">
        <v>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9"/>
      <c r="AC30" s="5">
        <v>-0.26674718705434652</v>
      </c>
      <c r="AD30" s="5">
        <v>8.5645286130233547E-2</v>
      </c>
      <c r="AE30" s="5">
        <v>-0.1153125866599705</v>
      </c>
      <c r="AF30" s="5">
        <v>-8.5645286130233547E-2</v>
      </c>
      <c r="AG30" s="5">
        <v>0.26674718705434652</v>
      </c>
      <c r="AH30" s="5">
        <v>0.1153125866599705</v>
      </c>
    </row>
    <row r="31" spans="2:34" x14ac:dyDescent="0.2">
      <c r="B31" s="4">
        <v>2025</v>
      </c>
      <c r="C31" s="4">
        <v>7</v>
      </c>
      <c r="D31" s="4" t="s">
        <v>38</v>
      </c>
      <c r="E31" s="4" t="s">
        <v>32</v>
      </c>
      <c r="F31" s="4"/>
      <c r="G31" s="4"/>
      <c r="H31" s="3">
        <v>0.31228554858801227</v>
      </c>
      <c r="I31" s="4" t="s">
        <v>80</v>
      </c>
      <c r="J31" s="3">
        <v>0.68771445141198773</v>
      </c>
      <c r="K31" s="4">
        <v>-220</v>
      </c>
      <c r="L31" s="4" t="s">
        <v>32</v>
      </c>
      <c r="M31" s="4" t="s">
        <v>32</v>
      </c>
      <c r="N31" s="4">
        <v>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9"/>
      <c r="AC31" s="5">
        <v>-0.2847224341498481</v>
      </c>
      <c r="AD31" s="5">
        <v>-0.24146947264671331</v>
      </c>
      <c r="AE31" s="5">
        <v>0.26711339235305792</v>
      </c>
      <c r="AF31" s="5">
        <v>0.24146947264671331</v>
      </c>
      <c r="AG31" s="5">
        <v>0.2847224341498481</v>
      </c>
      <c r="AH31" s="5">
        <v>-0.26711339235305792</v>
      </c>
    </row>
    <row r="32" spans="2:34" x14ac:dyDescent="0.2">
      <c r="B32" s="4">
        <v>2025</v>
      </c>
      <c r="C32" s="4">
        <v>7</v>
      </c>
      <c r="D32" s="4" t="s">
        <v>14</v>
      </c>
      <c r="E32" s="4" t="s">
        <v>10</v>
      </c>
      <c r="F32" s="4"/>
      <c r="G32" s="4"/>
      <c r="H32" s="3">
        <v>0.74988507475852006</v>
      </c>
      <c r="I32" s="4">
        <v>-299</v>
      </c>
      <c r="J32" s="3">
        <v>0.25011492524147988</v>
      </c>
      <c r="K32" s="4" t="s">
        <v>81</v>
      </c>
      <c r="L32" s="4" t="s">
        <v>14</v>
      </c>
      <c r="M32" s="4" t="s">
        <v>14</v>
      </c>
      <c r="N32" s="4">
        <v>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9"/>
      <c r="AC32" s="5">
        <v>0.11573300710538539</v>
      </c>
      <c r="AD32" s="5">
        <v>-0.19457486235065219</v>
      </c>
      <c r="AE32" s="5">
        <v>9.7547495365142817E-2</v>
      </c>
      <c r="AF32" s="5">
        <v>0.19457486235065219</v>
      </c>
      <c r="AG32" s="5">
        <v>-0.11573300710538539</v>
      </c>
      <c r="AH32" s="5">
        <v>-9.7547495365142817E-2</v>
      </c>
    </row>
    <row r="33" spans="2:34" x14ac:dyDescent="0.2">
      <c r="B33" s="4">
        <v>2025</v>
      </c>
      <c r="C33" s="4">
        <v>7</v>
      </c>
      <c r="D33" s="4" t="s">
        <v>29</v>
      </c>
      <c r="E33" s="4" t="s">
        <v>22</v>
      </c>
      <c r="F33" s="4"/>
      <c r="G33" s="4"/>
      <c r="H33" s="3">
        <v>0.49048640075567862</v>
      </c>
      <c r="I33" s="4" t="s">
        <v>21</v>
      </c>
      <c r="J33" s="3">
        <v>0.50951359924432138</v>
      </c>
      <c r="K33" s="4">
        <v>-103</v>
      </c>
      <c r="L33" s="4" t="s">
        <v>22</v>
      </c>
      <c r="M33" s="4" t="s">
        <v>22</v>
      </c>
      <c r="N33" s="4">
        <v>1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9"/>
      <c r="AC33" s="5">
        <v>9.606735706329346E-2</v>
      </c>
      <c r="AD33" s="5">
        <v>-0.44475957325526638</v>
      </c>
      <c r="AE33" s="5">
        <v>-0.15667808833329569</v>
      </c>
      <c r="AF33" s="5">
        <v>0.44475957325526638</v>
      </c>
      <c r="AG33" s="5">
        <v>-9.606735706329346E-2</v>
      </c>
      <c r="AH33" s="5">
        <v>0.15667808833329569</v>
      </c>
    </row>
    <row r="34" spans="2:34" x14ac:dyDescent="0.2">
      <c r="B34" s="4">
        <v>2025</v>
      </c>
      <c r="C34" s="4">
        <v>7</v>
      </c>
      <c r="D34" s="4" t="s">
        <v>23</v>
      </c>
      <c r="E34" s="4" t="s">
        <v>40</v>
      </c>
      <c r="F34" s="4"/>
      <c r="G34" s="4"/>
      <c r="H34" s="3">
        <v>0.42954545430650298</v>
      </c>
      <c r="I34" s="4" t="s">
        <v>82</v>
      </c>
      <c r="J34" s="3">
        <v>0.57045454569349696</v>
      </c>
      <c r="K34" s="4">
        <v>-132</v>
      </c>
      <c r="L34" s="4" t="s">
        <v>40</v>
      </c>
      <c r="M34" s="4" t="s">
        <v>40</v>
      </c>
      <c r="N34" s="4">
        <v>1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9"/>
      <c r="AC34" s="5">
        <v>-2.5914829028280159E-3</v>
      </c>
      <c r="AD34" s="5">
        <v>-0.1183568579810006</v>
      </c>
      <c r="AE34" s="5">
        <v>5.2370643615722648E-2</v>
      </c>
      <c r="AF34" s="5">
        <v>0.1183568579810006</v>
      </c>
      <c r="AG34" s="5">
        <v>2.5914829028280159E-3</v>
      </c>
      <c r="AH34" s="5">
        <v>-5.2370643615722648E-2</v>
      </c>
    </row>
    <row r="35" spans="2:34" x14ac:dyDescent="0.2">
      <c r="B35" s="4">
        <v>2025</v>
      </c>
      <c r="C35" s="4">
        <v>7</v>
      </c>
      <c r="D35" s="4" t="s">
        <v>20</v>
      </c>
      <c r="E35" s="4" t="s">
        <v>52</v>
      </c>
      <c r="F35" s="4"/>
      <c r="G35" s="4"/>
      <c r="H35" s="3">
        <v>0.45455862836252953</v>
      </c>
      <c r="I35" s="4" t="s">
        <v>83</v>
      </c>
      <c r="J35" s="3">
        <v>0.54544137163747053</v>
      </c>
      <c r="K35" s="4">
        <v>-119</v>
      </c>
      <c r="L35" s="4" t="s">
        <v>52</v>
      </c>
      <c r="M35" s="4" t="s">
        <v>20</v>
      </c>
      <c r="N35" s="4">
        <v>0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9"/>
      <c r="AC35" s="5">
        <v>0.1580915451049805</v>
      </c>
      <c r="AD35" s="5">
        <v>0.19612538473946711</v>
      </c>
      <c r="AE35" s="5">
        <v>3.1338125467300422E-2</v>
      </c>
      <c r="AF35" s="5">
        <v>-0.19612538473946711</v>
      </c>
      <c r="AG35" s="5">
        <v>-0.1580915451049805</v>
      </c>
      <c r="AH35" s="5">
        <v>-3.1338125467300422E-2</v>
      </c>
    </row>
    <row r="36" spans="2:34" x14ac:dyDescent="0.2">
      <c r="B36" s="4">
        <v>2025</v>
      </c>
      <c r="C36" s="4">
        <v>7</v>
      </c>
      <c r="D36" s="4" t="s">
        <v>44</v>
      </c>
      <c r="E36" s="4" t="s">
        <v>49</v>
      </c>
      <c r="F36" s="4"/>
      <c r="G36" s="4"/>
      <c r="H36" s="3">
        <v>0.50845244587212157</v>
      </c>
      <c r="I36" s="4">
        <v>-103</v>
      </c>
      <c r="J36" s="3">
        <v>0.49154755412787843</v>
      </c>
      <c r="K36" s="4" t="s">
        <v>21</v>
      </c>
      <c r="L36" s="4" t="s">
        <v>44</v>
      </c>
      <c r="M36" s="4" t="s">
        <v>44</v>
      </c>
      <c r="N36" s="4">
        <v>1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9"/>
      <c r="AC36" s="5">
        <v>3.940850037794847E-2</v>
      </c>
      <c r="AD36" s="5">
        <v>0.12123581857392279</v>
      </c>
      <c r="AE36" s="5">
        <v>3.9254677295684812E-2</v>
      </c>
      <c r="AF36" s="5">
        <v>-0.12123581857392279</v>
      </c>
      <c r="AG36" s="5">
        <v>-3.940850037794847E-2</v>
      </c>
      <c r="AH36" s="5">
        <v>-3.9254677295684812E-2</v>
      </c>
    </row>
    <row r="37" spans="2:34" x14ac:dyDescent="0.2">
      <c r="B37" s="4">
        <v>2025</v>
      </c>
      <c r="C37" s="4">
        <v>7</v>
      </c>
      <c r="D37" s="4" t="s">
        <v>47</v>
      </c>
      <c r="E37" s="4" t="s">
        <v>43</v>
      </c>
      <c r="F37" s="4"/>
      <c r="G37" s="4"/>
      <c r="H37" s="3">
        <v>0.58751520990515615</v>
      </c>
      <c r="I37" s="4">
        <v>-142</v>
      </c>
      <c r="J37" s="3">
        <v>0.41248479009484379</v>
      </c>
      <c r="K37" s="4" t="s">
        <v>84</v>
      </c>
      <c r="L37" s="4" t="s">
        <v>47</v>
      </c>
      <c r="M37" s="4" t="s">
        <v>47</v>
      </c>
      <c r="N37" s="4">
        <v>1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9"/>
      <c r="AC37" s="5">
        <v>-9.9057456425258095E-2</v>
      </c>
      <c r="AD37" s="5">
        <v>0.35557553388070368</v>
      </c>
      <c r="AE37" s="5">
        <v>-2.4791638056437179E-2</v>
      </c>
      <c r="AF37" s="5">
        <v>-0.35557553388070368</v>
      </c>
      <c r="AG37" s="5">
        <v>9.9057456425258095E-2</v>
      </c>
      <c r="AH37" s="5">
        <v>2.4791638056437179E-2</v>
      </c>
    </row>
    <row r="38" spans="2:34" x14ac:dyDescent="0.2">
      <c r="B38" s="4">
        <v>2025</v>
      </c>
      <c r="C38" s="4">
        <v>7</v>
      </c>
      <c r="D38" s="4" t="s">
        <v>26</v>
      </c>
      <c r="E38" s="4" t="s">
        <v>85</v>
      </c>
      <c r="F38" s="4"/>
      <c r="G38" s="4"/>
      <c r="H38" s="3">
        <v>0.6114152464153555</v>
      </c>
      <c r="I38" s="4">
        <v>-157</v>
      </c>
      <c r="J38" s="3">
        <v>0.3885847535846445</v>
      </c>
      <c r="K38" s="4" t="s">
        <v>86</v>
      </c>
      <c r="L38" s="4" t="s">
        <v>26</v>
      </c>
      <c r="M38" s="4" t="s">
        <v>26</v>
      </c>
      <c r="N38" s="4">
        <v>1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9"/>
      <c r="AC38" s="5">
        <v>-0.2309388319651286</v>
      </c>
      <c r="AD38" s="5">
        <v>0.32778670571067109</v>
      </c>
      <c r="AE38" s="5">
        <v>4.3519256512324023E-2</v>
      </c>
      <c r="AF38" s="5">
        <v>-0.32778670571067109</v>
      </c>
      <c r="AG38" s="5">
        <v>0.2309388319651286</v>
      </c>
      <c r="AH38" s="5">
        <v>-4.3519256512324023E-2</v>
      </c>
    </row>
    <row r="39" spans="2:34" x14ac:dyDescent="0.2">
      <c r="B39" s="4">
        <v>2025</v>
      </c>
      <c r="C39" s="4">
        <v>8</v>
      </c>
      <c r="D39" s="4" t="s">
        <v>29</v>
      </c>
      <c r="E39" s="4" t="s">
        <v>77</v>
      </c>
      <c r="F39" s="4"/>
      <c r="G39" s="4"/>
      <c r="H39" s="3">
        <v>0.53600000000000003</v>
      </c>
      <c r="I39" s="4">
        <v>-120</v>
      </c>
      <c r="J39" s="3">
        <v>0.46400000000000002</v>
      </c>
      <c r="K39" s="4" t="s">
        <v>88</v>
      </c>
      <c r="L39" s="4" t="s">
        <v>29</v>
      </c>
      <c r="M39" s="4" t="s">
        <v>29</v>
      </c>
      <c r="N39" s="4">
        <v>1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9"/>
      <c r="AC39" s="5">
        <v>0.2057301584879557</v>
      </c>
      <c r="AD39" s="5">
        <v>0.33306914684819239</v>
      </c>
      <c r="AE39" s="5">
        <v>-1.306361189255348E-2</v>
      </c>
      <c r="AF39" s="5">
        <v>-0.33306914684819239</v>
      </c>
      <c r="AG39" s="5">
        <v>-0.2057301584879557</v>
      </c>
      <c r="AH39" s="5">
        <v>1.306361189255348E-2</v>
      </c>
    </row>
    <row r="40" spans="2:34" x14ac:dyDescent="0.2">
      <c r="B40" s="4">
        <v>2025</v>
      </c>
      <c r="C40" s="4">
        <v>8</v>
      </c>
      <c r="D40" s="4" t="s">
        <v>49</v>
      </c>
      <c r="E40" s="4" t="s">
        <v>28</v>
      </c>
      <c r="F40" s="4"/>
      <c r="G40" s="4"/>
      <c r="H40" s="3">
        <v>0.58599999999999997</v>
      </c>
      <c r="I40" s="4">
        <v>-144</v>
      </c>
      <c r="J40" s="3">
        <v>0.41399999999999998</v>
      </c>
      <c r="K40" s="4" t="s">
        <v>89</v>
      </c>
      <c r="L40" s="4" t="s">
        <v>49</v>
      </c>
      <c r="M40" s="4" t="s">
        <v>28</v>
      </c>
      <c r="N40" s="4">
        <v>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9"/>
      <c r="AC40" s="5">
        <v>-0.30089873893588198</v>
      </c>
      <c r="AD40" s="5">
        <v>-0.1334456716264997</v>
      </c>
      <c r="AE40" s="5">
        <v>-0.14619972229003911</v>
      </c>
      <c r="AF40" s="5">
        <v>0.1334456716264997</v>
      </c>
      <c r="AG40" s="5">
        <v>0.30089873893588198</v>
      </c>
      <c r="AH40" s="5">
        <v>0.14619972229003911</v>
      </c>
    </row>
    <row r="41" spans="2:34" x14ac:dyDescent="0.2">
      <c r="B41" s="4">
        <v>2025</v>
      </c>
      <c r="C41" s="4">
        <v>8</v>
      </c>
      <c r="D41" s="4" t="s">
        <v>16</v>
      </c>
      <c r="E41" s="4" t="s">
        <v>53</v>
      </c>
      <c r="F41" s="4"/>
      <c r="G41" s="4"/>
      <c r="H41" s="3">
        <v>0.61263915597612162</v>
      </c>
      <c r="I41" s="4">
        <v>-158</v>
      </c>
      <c r="J41" s="3">
        <v>0.38736084402387838</v>
      </c>
      <c r="K41" s="4" t="s">
        <v>90</v>
      </c>
      <c r="L41" s="4" t="s">
        <v>16</v>
      </c>
      <c r="M41" s="4" t="s">
        <v>16</v>
      </c>
      <c r="N41" s="4">
        <v>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9"/>
      <c r="AC41" s="5">
        <v>0.207928833594689</v>
      </c>
      <c r="AD41" s="5">
        <v>-1.7090889123769909E-2</v>
      </c>
      <c r="AE41" s="5">
        <v>8.4218422571818038E-2</v>
      </c>
      <c r="AF41" s="5">
        <v>1.7090889123769909E-2</v>
      </c>
      <c r="AG41" s="5">
        <v>-0.207928833594689</v>
      </c>
      <c r="AH41" s="5">
        <v>-8.4218422571818038E-2</v>
      </c>
    </row>
    <row r="42" spans="2:34" x14ac:dyDescent="0.2">
      <c r="B42" s="4">
        <v>2025</v>
      </c>
      <c r="C42" s="4">
        <v>8</v>
      </c>
      <c r="D42" s="4" t="s">
        <v>19</v>
      </c>
      <c r="E42" s="4" t="s">
        <v>50</v>
      </c>
      <c r="F42" s="4"/>
      <c r="G42" s="4"/>
      <c r="H42" s="3">
        <v>0.34699999999999998</v>
      </c>
      <c r="I42" s="4" t="s">
        <v>91</v>
      </c>
      <c r="J42" s="3">
        <v>0.65300000000000002</v>
      </c>
      <c r="K42" s="4">
        <v>-204</v>
      </c>
      <c r="L42" s="4" t="s">
        <v>50</v>
      </c>
      <c r="M42" s="4" t="s">
        <v>50</v>
      </c>
      <c r="N42" s="4">
        <v>1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9"/>
      <c r="AC42" s="5">
        <v>-0.31306085430207797</v>
      </c>
      <c r="AD42" s="5">
        <v>-0.32291098374586841</v>
      </c>
      <c r="AE42" s="5">
        <v>4.84122633934021E-2</v>
      </c>
      <c r="AF42" s="5">
        <v>0.32291098374586841</v>
      </c>
      <c r="AG42" s="5">
        <v>0.31306085430207797</v>
      </c>
      <c r="AH42" s="5">
        <v>-4.84122633934021E-2</v>
      </c>
    </row>
    <row r="43" spans="2:34" x14ac:dyDescent="0.2">
      <c r="B43" s="4">
        <v>2025</v>
      </c>
      <c r="C43" s="4">
        <v>8</v>
      </c>
      <c r="D43" s="4" t="s">
        <v>41</v>
      </c>
      <c r="E43" s="4" t="s">
        <v>13</v>
      </c>
      <c r="F43" s="4"/>
      <c r="G43" s="4"/>
      <c r="H43" s="3">
        <v>0.60399999999999998</v>
      </c>
      <c r="I43" s="4">
        <v>-148</v>
      </c>
      <c r="J43" s="3">
        <v>0.39600000000000002</v>
      </c>
      <c r="K43" s="4" t="s">
        <v>92</v>
      </c>
      <c r="L43" s="4" t="s">
        <v>41</v>
      </c>
      <c r="M43" s="4" t="s">
        <v>13</v>
      </c>
      <c r="N43" s="4">
        <v>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9"/>
      <c r="AC43" s="5">
        <v>0.2565590540568034</v>
      </c>
      <c r="AD43" s="5">
        <v>-0.31294928656684029</v>
      </c>
      <c r="AE43" s="5">
        <v>6.210208733876546E-2</v>
      </c>
      <c r="AF43" s="5">
        <v>0.31294928656684029</v>
      </c>
      <c r="AG43" s="5">
        <v>-0.2565590540568034</v>
      </c>
      <c r="AH43" s="5">
        <v>-6.210208733876546E-2</v>
      </c>
    </row>
    <row r="44" spans="2:34" x14ac:dyDescent="0.2">
      <c r="B44" s="4">
        <v>2025</v>
      </c>
      <c r="C44" s="4">
        <v>8</v>
      </c>
      <c r="D44" s="4" t="s">
        <v>85</v>
      </c>
      <c r="E44" s="4" t="s">
        <v>44</v>
      </c>
      <c r="F44" s="4"/>
      <c r="G44" s="4"/>
      <c r="H44" s="3">
        <v>0.53600000000000003</v>
      </c>
      <c r="I44" s="4">
        <v>-116</v>
      </c>
      <c r="J44" s="3">
        <v>0.46400000000000002</v>
      </c>
      <c r="K44" s="4" t="s">
        <v>18</v>
      </c>
      <c r="L44" s="4" t="s">
        <v>85</v>
      </c>
      <c r="M44" s="4" t="s">
        <v>85</v>
      </c>
      <c r="N44" s="4">
        <v>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9"/>
      <c r="AC44" s="5">
        <v>0.21049607105744189</v>
      </c>
      <c r="AD44" s="5">
        <v>3.6765984126499722E-2</v>
      </c>
      <c r="AE44" s="5">
        <v>-0.118862638870875</v>
      </c>
      <c r="AF44" s="5">
        <v>-3.6765984126499722E-2</v>
      </c>
      <c r="AG44" s="5">
        <v>-0.21049607105744189</v>
      </c>
      <c r="AH44" s="5">
        <v>0.118862638870875</v>
      </c>
    </row>
    <row r="45" spans="2:34" x14ac:dyDescent="0.2">
      <c r="B45" s="4">
        <v>2025</v>
      </c>
      <c r="C45" s="4">
        <v>8</v>
      </c>
      <c r="D45" s="4" t="s">
        <v>32</v>
      </c>
      <c r="E45" s="4" t="s">
        <v>35</v>
      </c>
      <c r="F45" s="4"/>
      <c r="G45" s="4"/>
      <c r="H45" s="3">
        <v>0.79861869943742581</v>
      </c>
      <c r="I45" s="4">
        <v>-396</v>
      </c>
      <c r="J45" s="3">
        <v>0.20138130056257419</v>
      </c>
      <c r="K45" s="4" t="s">
        <v>93</v>
      </c>
      <c r="L45" s="4" t="s">
        <v>32</v>
      </c>
      <c r="M45" s="4" t="s">
        <v>32</v>
      </c>
      <c r="N45" s="4">
        <v>1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9"/>
      <c r="AC45" s="5">
        <v>7.3067423123032299E-2</v>
      </c>
      <c r="AD45" s="5">
        <v>0.31074229153719818</v>
      </c>
      <c r="AE45" s="5">
        <v>9.6539397239685062E-2</v>
      </c>
      <c r="AF45" s="5">
        <v>-0.31074229153719818</v>
      </c>
      <c r="AG45" s="5">
        <v>-7.3067423123032299E-2</v>
      </c>
      <c r="AH45" s="5">
        <v>-9.6539397239685062E-2</v>
      </c>
    </row>
    <row r="46" spans="2:34" x14ac:dyDescent="0.2">
      <c r="B46" s="4">
        <v>2025</v>
      </c>
      <c r="C46" s="4">
        <v>8</v>
      </c>
      <c r="D46" s="4" t="s">
        <v>11</v>
      </c>
      <c r="E46" s="4" t="s">
        <v>10</v>
      </c>
      <c r="F46" s="4"/>
      <c r="G46" s="4"/>
      <c r="H46" s="3">
        <v>0.69799999999999995</v>
      </c>
      <c r="I46" s="4">
        <v>-227</v>
      </c>
      <c r="J46" s="3">
        <v>0.30199999999999999</v>
      </c>
      <c r="K46" s="4" t="s">
        <v>94</v>
      </c>
      <c r="L46" s="4" t="s">
        <v>11</v>
      </c>
      <c r="M46" s="4" t="s">
        <v>11</v>
      </c>
      <c r="N46" s="4">
        <v>1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9"/>
      <c r="AC46" s="5">
        <v>0.38337591138936711</v>
      </c>
      <c r="AD46" s="5">
        <v>-4.1866832309299037E-2</v>
      </c>
      <c r="AE46" s="5">
        <v>-2.1435081958770748E-2</v>
      </c>
      <c r="AF46" s="5">
        <v>4.1866832309299037E-2</v>
      </c>
      <c r="AG46" s="5">
        <v>-0.38337591138936711</v>
      </c>
      <c r="AH46" s="5">
        <v>2.1435081958770748E-2</v>
      </c>
    </row>
    <row r="47" spans="2:34" x14ac:dyDescent="0.2">
      <c r="B47" s="4">
        <v>2025</v>
      </c>
      <c r="C47" s="4">
        <v>8</v>
      </c>
      <c r="D47" s="4" t="s">
        <v>31</v>
      </c>
      <c r="E47" s="4" t="s">
        <v>43</v>
      </c>
      <c r="F47" s="4"/>
      <c r="G47" s="4"/>
      <c r="H47" s="3">
        <v>0.28199999999999997</v>
      </c>
      <c r="I47" s="4" t="s">
        <v>95</v>
      </c>
      <c r="J47" s="3">
        <v>0.71799999999999997</v>
      </c>
      <c r="K47" s="4">
        <v>-260</v>
      </c>
      <c r="L47" s="4" t="s">
        <v>43</v>
      </c>
      <c r="M47" s="4" t="s">
        <v>43</v>
      </c>
      <c r="N47" s="4">
        <v>1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9"/>
      <c r="AC47" s="5">
        <v>-0.46523212742161107</v>
      </c>
      <c r="AD47" s="5">
        <v>0.16694886567162689</v>
      </c>
      <c r="AE47" s="5">
        <v>-0.19439544081687929</v>
      </c>
      <c r="AF47" s="5">
        <v>-0.16694886567162689</v>
      </c>
      <c r="AG47" s="5">
        <v>0.46523212742161107</v>
      </c>
      <c r="AH47" s="5">
        <v>0.19439544081687929</v>
      </c>
    </row>
    <row r="48" spans="2:34" x14ac:dyDescent="0.2">
      <c r="B48" s="4">
        <v>2025</v>
      </c>
      <c r="C48" s="4">
        <v>8</v>
      </c>
      <c r="D48" s="4" t="s">
        <v>14</v>
      </c>
      <c r="E48" s="4" t="s">
        <v>20</v>
      </c>
      <c r="F48" s="4"/>
      <c r="G48" s="4"/>
      <c r="H48" s="3">
        <v>0.57799999999999996</v>
      </c>
      <c r="I48" s="4">
        <v>-139</v>
      </c>
      <c r="J48" s="3">
        <v>0.42199999999999999</v>
      </c>
      <c r="K48" s="4" t="s">
        <v>24</v>
      </c>
      <c r="L48" s="4" t="s">
        <v>14</v>
      </c>
      <c r="M48" s="4" t="s">
        <v>14</v>
      </c>
      <c r="N48" s="4">
        <v>1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9"/>
      <c r="AC48" s="5">
        <v>0.37087668142011088</v>
      </c>
      <c r="AD48" s="5">
        <v>-4.4475715411336797E-2</v>
      </c>
      <c r="AE48" s="5">
        <v>1.7721645037333169E-2</v>
      </c>
      <c r="AF48" s="5">
        <v>4.4475715411336797E-2</v>
      </c>
      <c r="AG48" s="5">
        <v>-0.37087668142011088</v>
      </c>
      <c r="AH48" s="5">
        <v>-1.7721645037333169E-2</v>
      </c>
    </row>
    <row r="49" spans="2:34" x14ac:dyDescent="0.2">
      <c r="B49" s="4">
        <v>2025</v>
      </c>
      <c r="C49" s="4">
        <v>8</v>
      </c>
      <c r="D49" s="4" t="s">
        <v>22</v>
      </c>
      <c r="E49" s="4" t="s">
        <v>38</v>
      </c>
      <c r="F49" s="4"/>
      <c r="G49" s="4"/>
      <c r="H49" s="3">
        <v>0.86399999999999999</v>
      </c>
      <c r="I49" s="4">
        <v>-646</v>
      </c>
      <c r="J49" s="3">
        <v>0.13600000000000001</v>
      </c>
      <c r="K49" s="4" t="s">
        <v>96</v>
      </c>
      <c r="L49" s="4" t="s">
        <v>22</v>
      </c>
      <c r="M49" s="4" t="s">
        <v>22</v>
      </c>
      <c r="N49" s="4">
        <v>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9"/>
      <c r="AC49" s="5">
        <v>0.34562467179208428</v>
      </c>
      <c r="AD49" s="5">
        <v>3.6582742912181908E-2</v>
      </c>
      <c r="AE49" s="5">
        <v>0.2630864807537624</v>
      </c>
      <c r="AF49" s="5">
        <v>-3.6582742912181908E-2</v>
      </c>
      <c r="AG49" s="5">
        <v>-0.34562467179208428</v>
      </c>
      <c r="AH49" s="5">
        <v>-0.2630864807537624</v>
      </c>
    </row>
    <row r="50" spans="2:34" x14ac:dyDescent="0.2">
      <c r="B50" s="4">
        <v>2025</v>
      </c>
      <c r="C50" s="4">
        <v>8</v>
      </c>
      <c r="D50" s="4" t="s">
        <v>34</v>
      </c>
      <c r="E50" s="4" t="s">
        <v>40</v>
      </c>
      <c r="F50" s="4"/>
      <c r="G50" s="4"/>
      <c r="H50" s="3">
        <v>0.41299999999999998</v>
      </c>
      <c r="I50" s="4" t="s">
        <v>97</v>
      </c>
      <c r="J50" s="3">
        <v>0.58699999999999997</v>
      </c>
      <c r="K50" s="4">
        <v>-138</v>
      </c>
      <c r="L50" s="4" t="s">
        <v>40</v>
      </c>
      <c r="M50" s="4" t="s">
        <v>40</v>
      </c>
      <c r="N50" s="4">
        <v>1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9"/>
      <c r="AC50" s="5">
        <v>-0.12485238164663311</v>
      </c>
      <c r="AD50" s="5">
        <v>-0.32949493044898631</v>
      </c>
      <c r="AE50" s="5">
        <v>0.42716217041015619</v>
      </c>
      <c r="AF50" s="5">
        <v>0.32949493044898631</v>
      </c>
      <c r="AG50" s="5">
        <v>0.12485238164663311</v>
      </c>
      <c r="AH50" s="5">
        <v>-0.42716217041015619</v>
      </c>
    </row>
    <row r="51" spans="2:34" x14ac:dyDescent="0.2">
      <c r="B51" s="4">
        <v>2025</v>
      </c>
      <c r="C51" s="4">
        <v>8</v>
      </c>
      <c r="D51" s="4" t="s">
        <v>46</v>
      </c>
      <c r="E51" s="4" t="s">
        <v>52</v>
      </c>
      <c r="F51" s="4"/>
      <c r="G51" s="4"/>
      <c r="H51" s="3">
        <v>0.61699999999999999</v>
      </c>
      <c r="I51" s="4">
        <v>-160</v>
      </c>
      <c r="J51" s="3">
        <v>0.38300000000000001</v>
      </c>
      <c r="K51" s="4" t="s">
        <v>98</v>
      </c>
      <c r="L51" s="4" t="s">
        <v>46</v>
      </c>
      <c r="M51" s="4" t="s">
        <v>46</v>
      </c>
      <c r="N51" s="4">
        <v>1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9"/>
      <c r="AC51" s="5">
        <v>0.26601785688257928</v>
      </c>
      <c r="AD51" s="5">
        <v>0.16544209586249459</v>
      </c>
      <c r="AE51" s="5">
        <v>-0.18689228594303131</v>
      </c>
      <c r="AF51" s="5">
        <v>-0.16544209586249459</v>
      </c>
      <c r="AG51" s="5">
        <v>-0.26601785688257928</v>
      </c>
      <c r="AH51" s="5">
        <v>0.18689228594303131</v>
      </c>
    </row>
    <row r="52" spans="2:34" x14ac:dyDescent="0.2">
      <c r="B52" s="4">
        <v>2025</v>
      </c>
      <c r="C52" s="4">
        <v>9</v>
      </c>
      <c r="D52" s="4" t="s">
        <v>28</v>
      </c>
      <c r="E52" s="4" t="s">
        <v>16</v>
      </c>
      <c r="F52" s="4"/>
      <c r="G52" s="4"/>
      <c r="H52" s="3">
        <v>0.44668876121047069</v>
      </c>
      <c r="I52" s="4" t="s">
        <v>99</v>
      </c>
      <c r="J52" s="3">
        <v>0.55331123878952926</v>
      </c>
      <c r="K52" s="4" t="s">
        <v>100</v>
      </c>
      <c r="L52" s="4" t="s">
        <v>16</v>
      </c>
      <c r="M52" s="4" t="s">
        <v>16</v>
      </c>
      <c r="N52" s="4">
        <v>1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9"/>
      <c r="AC52" s="5">
        <v>-0.225263125860869</v>
      </c>
      <c r="AD52" s="5">
        <v>-0.16305417027966729</v>
      </c>
      <c r="AE52" s="5">
        <v>-1.721596966187159E-2</v>
      </c>
      <c r="AF52" s="5">
        <v>0.16305417027966729</v>
      </c>
      <c r="AG52" s="5">
        <v>0.225263125860869</v>
      </c>
      <c r="AH52" s="5">
        <v>1.721596966187159E-2</v>
      </c>
    </row>
    <row r="53" spans="2:34" x14ac:dyDescent="0.2">
      <c r="B53" s="4">
        <v>2025</v>
      </c>
      <c r="C53" s="4">
        <v>9</v>
      </c>
      <c r="D53" s="4" t="s">
        <v>41</v>
      </c>
      <c r="E53" s="4" t="s">
        <v>53</v>
      </c>
      <c r="F53" s="4"/>
      <c r="G53" s="4"/>
      <c r="H53" s="3">
        <v>0.60003242203207108</v>
      </c>
      <c r="I53" s="4" t="s">
        <v>101</v>
      </c>
      <c r="J53" s="3">
        <v>0.39996757796792892</v>
      </c>
      <c r="K53" s="4" t="s">
        <v>102</v>
      </c>
      <c r="L53" s="4" t="s">
        <v>41</v>
      </c>
      <c r="M53" s="4" t="s">
        <v>53</v>
      </c>
      <c r="N53" s="4">
        <v>0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9"/>
      <c r="AC53" s="5">
        <v>0.18499578748430531</v>
      </c>
      <c r="AD53" s="5">
        <v>-0.43041532585419812</v>
      </c>
      <c r="AE53" s="5">
        <v>0.35861015319824219</v>
      </c>
      <c r="AF53" s="5">
        <v>0.43041532585419812</v>
      </c>
      <c r="AG53" s="5">
        <v>-0.18499578748430531</v>
      </c>
      <c r="AH53" s="5">
        <v>-0.35861015319824219</v>
      </c>
    </row>
    <row r="54" spans="2:34" x14ac:dyDescent="0.2">
      <c r="B54" s="4">
        <v>2025</v>
      </c>
      <c r="C54" s="4">
        <v>9</v>
      </c>
      <c r="D54" s="4" t="s">
        <v>47</v>
      </c>
      <c r="E54" s="4" t="s">
        <v>77</v>
      </c>
      <c r="F54" s="4"/>
      <c r="G54" s="4"/>
      <c r="H54" s="3">
        <v>0.69773234427470909</v>
      </c>
      <c r="I54" s="4" t="s">
        <v>103</v>
      </c>
      <c r="J54" s="3">
        <v>0.30226765572529091</v>
      </c>
      <c r="K54" s="4" t="s">
        <v>104</v>
      </c>
      <c r="L54" s="4" t="s">
        <v>47</v>
      </c>
      <c r="M54" s="4" t="s">
        <v>77</v>
      </c>
      <c r="N54" s="4">
        <v>0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9"/>
      <c r="AC54" s="5">
        <v>-3.801141065709731E-2</v>
      </c>
      <c r="AD54" s="5">
        <v>1.8339883035688259E-2</v>
      </c>
      <c r="AE54" s="5">
        <v>-0.17444229920705159</v>
      </c>
      <c r="AF54" s="5">
        <v>-1.8339883035688259E-2</v>
      </c>
      <c r="AG54" s="5">
        <v>3.801141065709731E-2</v>
      </c>
      <c r="AH54" s="5">
        <v>0.17444229920705159</v>
      </c>
    </row>
    <row r="55" spans="2:34" x14ac:dyDescent="0.2">
      <c r="B55" s="4">
        <v>2025</v>
      </c>
      <c r="C55" s="4">
        <v>9</v>
      </c>
      <c r="D55" s="4" t="s">
        <v>40</v>
      </c>
      <c r="E55" s="4" t="s">
        <v>19</v>
      </c>
      <c r="F55" s="4"/>
      <c r="G55" s="4"/>
      <c r="H55" s="3">
        <v>0.71077260123876596</v>
      </c>
      <c r="I55" s="4" t="s">
        <v>105</v>
      </c>
      <c r="J55" s="3">
        <v>0.28922739876123399</v>
      </c>
      <c r="K55" s="4" t="s">
        <v>106</v>
      </c>
      <c r="L55" s="4" t="s">
        <v>40</v>
      </c>
      <c r="M55" s="4" t="s">
        <v>19</v>
      </c>
      <c r="N55" s="4">
        <v>0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9"/>
      <c r="AC55" s="5">
        <v>-1.5043538549672001E-3</v>
      </c>
      <c r="AD55" s="5">
        <v>-7.376173676037398E-2</v>
      </c>
      <c r="AE55" s="5">
        <v>-8.434862336691688E-3</v>
      </c>
      <c r="AF55" s="5">
        <v>7.376173676037398E-2</v>
      </c>
      <c r="AG55" s="5">
        <v>1.5043538549672001E-3</v>
      </c>
      <c r="AH55" s="5">
        <v>8.434862336691688E-3</v>
      </c>
    </row>
    <row r="56" spans="2:34" x14ac:dyDescent="0.2">
      <c r="B56" s="4">
        <v>2025</v>
      </c>
      <c r="C56" s="4">
        <v>9</v>
      </c>
      <c r="D56" s="4" t="s">
        <v>85</v>
      </c>
      <c r="E56" s="4" t="s">
        <v>14</v>
      </c>
      <c r="F56" s="4"/>
      <c r="G56" s="4"/>
      <c r="H56" s="3">
        <v>0.49332373862571433</v>
      </c>
      <c r="I56" s="4" t="s">
        <v>30</v>
      </c>
      <c r="J56" s="3">
        <v>0.50667626137428567</v>
      </c>
      <c r="K56" s="4" t="s">
        <v>107</v>
      </c>
      <c r="L56" s="4" t="s">
        <v>14</v>
      </c>
      <c r="M56" s="4" t="s">
        <v>14</v>
      </c>
      <c r="N56" s="4">
        <v>1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9"/>
      <c r="AC56" s="5">
        <v>-0.1960059592598363</v>
      </c>
      <c r="AD56" s="5">
        <v>0.1036794483661652</v>
      </c>
      <c r="AE56" s="5">
        <v>0.19043291666928461</v>
      </c>
      <c r="AF56" s="5">
        <v>-0.1036794483661652</v>
      </c>
      <c r="AG56" s="5">
        <v>0.1960059592598363</v>
      </c>
      <c r="AH56" s="5">
        <v>-0.19043291666928461</v>
      </c>
    </row>
    <row r="57" spans="2:34" x14ac:dyDescent="0.2">
      <c r="B57" s="4">
        <v>2025</v>
      </c>
      <c r="C57" s="4">
        <v>9</v>
      </c>
      <c r="D57" s="4" t="s">
        <v>32</v>
      </c>
      <c r="E57" s="4" t="s">
        <v>49</v>
      </c>
      <c r="F57" s="4"/>
      <c r="G57" s="4"/>
      <c r="H57" s="3">
        <v>0.61882510976001703</v>
      </c>
      <c r="I57" s="4" t="s">
        <v>108</v>
      </c>
      <c r="J57" s="3">
        <v>0.38117489023998302</v>
      </c>
      <c r="K57" s="4" t="s">
        <v>109</v>
      </c>
      <c r="L57" s="4" t="s">
        <v>32</v>
      </c>
      <c r="M57" s="4" t="s">
        <v>32</v>
      </c>
      <c r="N57" s="4">
        <v>1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9"/>
      <c r="AC57" s="5">
        <v>1.2460860184260779E-2</v>
      </c>
      <c r="AD57" s="5">
        <v>-3.4125897843958967E-2</v>
      </c>
      <c r="AE57" s="5">
        <v>6.7735273104447588E-2</v>
      </c>
      <c r="AF57" s="5">
        <v>3.4125897843958967E-2</v>
      </c>
      <c r="AG57" s="5">
        <v>-1.2460860184260779E-2</v>
      </c>
      <c r="AH57" s="5">
        <v>-6.7735273104447588E-2</v>
      </c>
    </row>
    <row r="58" spans="2:34" x14ac:dyDescent="0.2">
      <c r="B58" s="4">
        <v>2025</v>
      </c>
      <c r="C58" s="4">
        <v>9</v>
      </c>
      <c r="D58" s="4" t="s">
        <v>10</v>
      </c>
      <c r="E58" s="4" t="s">
        <v>44</v>
      </c>
      <c r="F58" s="4"/>
      <c r="G58" s="4"/>
      <c r="H58" s="3">
        <v>0.48417670618079922</v>
      </c>
      <c r="I58" s="4" t="s">
        <v>110</v>
      </c>
      <c r="J58" s="3">
        <v>0.51582329381920089</v>
      </c>
      <c r="K58" s="4" t="s">
        <v>111</v>
      </c>
      <c r="L58" s="4" t="s">
        <v>44</v>
      </c>
      <c r="M58" s="4" t="s">
        <v>44</v>
      </c>
      <c r="N58" s="4">
        <v>1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9"/>
      <c r="AC58" s="5">
        <v>0.15103745460510251</v>
      </c>
      <c r="AD58" s="5">
        <v>-0.24087369101388109</v>
      </c>
      <c r="AE58" s="5">
        <v>-0.23305712938308709</v>
      </c>
      <c r="AF58" s="5">
        <v>0.24087369101388109</v>
      </c>
      <c r="AG58" s="5">
        <v>-0.15103745460510251</v>
      </c>
      <c r="AH58" s="5">
        <v>0.23305712938308709</v>
      </c>
    </row>
    <row r="59" spans="2:34" x14ac:dyDescent="0.2">
      <c r="B59" s="4">
        <v>2025</v>
      </c>
      <c r="C59" s="4">
        <v>9</v>
      </c>
      <c r="D59" s="4" t="s">
        <v>34</v>
      </c>
      <c r="E59" s="4" t="s">
        <v>22</v>
      </c>
      <c r="F59" s="4"/>
      <c r="G59" s="4"/>
      <c r="H59" s="3">
        <v>0.36042278414131651</v>
      </c>
      <c r="I59" s="4" t="s">
        <v>112</v>
      </c>
      <c r="J59" s="3">
        <v>0.63957721585868343</v>
      </c>
      <c r="K59" s="4" t="s">
        <v>113</v>
      </c>
      <c r="L59" s="4" t="s">
        <v>22</v>
      </c>
      <c r="M59" s="4" t="s">
        <v>34</v>
      </c>
      <c r="N59" s="4">
        <v>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9"/>
      <c r="AC59" s="5">
        <v>-0.1035743482185133</v>
      </c>
      <c r="AD59" s="5">
        <v>9.4617843627929688E-2</v>
      </c>
      <c r="AE59" s="5">
        <v>0.25383403566148538</v>
      </c>
      <c r="AF59" s="5">
        <v>-9.4617843627929688E-2</v>
      </c>
      <c r="AG59" s="5">
        <v>0.1035743482185133</v>
      </c>
      <c r="AH59" s="5">
        <v>-0.25383403566148538</v>
      </c>
    </row>
    <row r="60" spans="2:34" x14ac:dyDescent="0.2">
      <c r="B60" s="4">
        <v>2025</v>
      </c>
      <c r="C60" s="4">
        <v>9</v>
      </c>
      <c r="D60" s="4" t="s">
        <v>38</v>
      </c>
      <c r="E60" s="4" t="s">
        <v>29</v>
      </c>
      <c r="F60" s="4"/>
      <c r="G60" s="4"/>
      <c r="H60" s="3">
        <v>0.24911203876744639</v>
      </c>
      <c r="I60" s="4" t="s">
        <v>114</v>
      </c>
      <c r="J60" s="3">
        <v>0.75088796123255352</v>
      </c>
      <c r="K60" s="4" t="s">
        <v>115</v>
      </c>
      <c r="L60" s="4" t="s">
        <v>29</v>
      </c>
      <c r="M60" s="4" t="s">
        <v>29</v>
      </c>
      <c r="N60" s="4">
        <v>1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9"/>
      <c r="AC60" s="5">
        <v>-0.2447796257174745</v>
      </c>
      <c r="AD60" s="5">
        <v>-4.180908203125E-2</v>
      </c>
      <c r="AE60" s="5">
        <v>0.18575405252390889</v>
      </c>
      <c r="AF60" s="5">
        <v>4.180908203125E-2</v>
      </c>
      <c r="AG60" s="5">
        <v>0.2447796257174745</v>
      </c>
      <c r="AH60" s="5">
        <v>-0.18575405252390889</v>
      </c>
    </row>
    <row r="61" spans="2:34" x14ac:dyDescent="0.2">
      <c r="B61" s="4">
        <v>2025</v>
      </c>
      <c r="C61" s="4">
        <v>9</v>
      </c>
      <c r="D61" s="4" t="s">
        <v>17</v>
      </c>
      <c r="E61" s="4" t="s">
        <v>31</v>
      </c>
      <c r="F61" s="4"/>
      <c r="G61" s="4"/>
      <c r="H61" s="3">
        <v>0.75454089311519046</v>
      </c>
      <c r="I61" s="4" t="s">
        <v>116</v>
      </c>
      <c r="J61" s="3">
        <v>0.24545910688480951</v>
      </c>
      <c r="K61" s="4" t="s">
        <v>117</v>
      </c>
      <c r="L61" s="4" t="s">
        <v>17</v>
      </c>
      <c r="M61" s="4" t="s">
        <v>17</v>
      </c>
      <c r="N61" s="4">
        <v>1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9"/>
      <c r="AC61" s="5">
        <v>0.25134553348316868</v>
      </c>
      <c r="AD61" s="5">
        <v>0.31206387565249488</v>
      </c>
      <c r="AE61" s="5">
        <v>-0.28692413413006329</v>
      </c>
      <c r="AF61" s="5">
        <v>-0.31206387565249488</v>
      </c>
      <c r="AG61" s="5">
        <v>-0.25134553348316868</v>
      </c>
      <c r="AH61" s="5">
        <v>0.28692413413006329</v>
      </c>
    </row>
    <row r="62" spans="2:34" x14ac:dyDescent="0.2">
      <c r="B62" s="4">
        <v>2025</v>
      </c>
      <c r="C62" s="4">
        <v>9</v>
      </c>
      <c r="D62" s="4" t="s">
        <v>37</v>
      </c>
      <c r="E62" s="4" t="s">
        <v>25</v>
      </c>
      <c r="F62" s="4"/>
      <c r="G62" s="4"/>
      <c r="H62" s="3">
        <v>0.3958420236876185</v>
      </c>
      <c r="I62" s="4" t="s">
        <v>118</v>
      </c>
      <c r="J62" s="3">
        <v>0.60415797631238144</v>
      </c>
      <c r="K62" s="4" t="s">
        <v>119</v>
      </c>
      <c r="L62" s="4" t="s">
        <v>25</v>
      </c>
      <c r="M62" s="4" t="s">
        <v>25</v>
      </c>
      <c r="N62" s="4">
        <v>1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9"/>
      <c r="AC62" s="5">
        <v>0.14785484769451079</v>
      </c>
      <c r="AD62" s="5">
        <v>-0.1031479203557394</v>
      </c>
      <c r="AE62" s="5">
        <v>-0.13232756578005281</v>
      </c>
      <c r="AF62" s="5">
        <v>0.1031479203557394</v>
      </c>
      <c r="AG62" s="5">
        <v>-0.14785484769451079</v>
      </c>
      <c r="AH62" s="5">
        <v>0.13232756578005281</v>
      </c>
    </row>
    <row r="63" spans="2:34" x14ac:dyDescent="0.2">
      <c r="B63" s="4">
        <v>2025</v>
      </c>
      <c r="C63" s="4">
        <v>9</v>
      </c>
      <c r="D63" s="4" t="s">
        <v>50</v>
      </c>
      <c r="E63" s="4" t="s">
        <v>46</v>
      </c>
      <c r="F63" s="4"/>
      <c r="G63" s="4"/>
      <c r="H63" s="3">
        <v>0.49275135306535522</v>
      </c>
      <c r="I63" s="4" t="s">
        <v>30</v>
      </c>
      <c r="J63" s="3">
        <v>0.50724864693464489</v>
      </c>
      <c r="K63" s="4" t="s">
        <v>107</v>
      </c>
      <c r="L63" s="4" t="s">
        <v>46</v>
      </c>
      <c r="M63" s="4" t="s">
        <v>50</v>
      </c>
      <c r="N63" s="4">
        <v>0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9"/>
      <c r="AC63" s="5">
        <v>0.21633625030517581</v>
      </c>
      <c r="AD63" s="5">
        <v>2.2891673349565069E-3</v>
      </c>
      <c r="AE63" s="5">
        <v>-0.29582126617431642</v>
      </c>
      <c r="AF63" s="5">
        <v>-2.2891673349565069E-3</v>
      </c>
      <c r="AG63" s="5">
        <v>-0.21633625030517581</v>
      </c>
      <c r="AH63" s="5">
        <v>0.29582126617431642</v>
      </c>
    </row>
    <row r="64" spans="2:34" x14ac:dyDescent="0.2">
      <c r="B64" s="4">
        <v>2025</v>
      </c>
      <c r="C64" s="4">
        <v>9</v>
      </c>
      <c r="D64" s="4" t="s">
        <v>52</v>
      </c>
      <c r="E64" s="4" t="s">
        <v>26</v>
      </c>
      <c r="F64" s="4"/>
      <c r="G64" s="4"/>
      <c r="H64" s="3">
        <v>0.51989649868481691</v>
      </c>
      <c r="I64" s="4" t="s">
        <v>120</v>
      </c>
      <c r="J64" s="3">
        <v>0.48010350131518309</v>
      </c>
      <c r="K64" s="4" t="s">
        <v>121</v>
      </c>
      <c r="L64" s="4" t="s">
        <v>52</v>
      </c>
      <c r="M64" s="4" t="s">
        <v>26</v>
      </c>
      <c r="N64" s="4">
        <v>0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9"/>
      <c r="AC64" s="5">
        <v>-7.1753733498709546E-2</v>
      </c>
      <c r="AD64" s="5">
        <v>-0.41504895912026463</v>
      </c>
      <c r="AE64" s="5">
        <v>-0.1105420688788096</v>
      </c>
      <c r="AF64" s="5">
        <v>0.41504895912026463</v>
      </c>
      <c r="AG64" s="5">
        <v>7.1753733498709546E-2</v>
      </c>
      <c r="AH64" s="5">
        <v>0.1105420688788096</v>
      </c>
    </row>
    <row r="65" spans="2:34" x14ac:dyDescent="0.2">
      <c r="B65" s="4">
        <v>2025</v>
      </c>
      <c r="C65" s="4">
        <v>9</v>
      </c>
      <c r="D65" s="4" t="s">
        <v>20</v>
      </c>
      <c r="E65" s="4" t="s">
        <v>23</v>
      </c>
      <c r="F65" s="4"/>
      <c r="G65" s="4"/>
      <c r="H65" s="3">
        <v>0.5529272060086009</v>
      </c>
      <c r="I65" s="4" t="s">
        <v>100</v>
      </c>
      <c r="J65" s="3">
        <v>0.4470727939913991</v>
      </c>
      <c r="K65" s="4" t="s">
        <v>99</v>
      </c>
      <c r="L65" s="4" t="s">
        <v>20</v>
      </c>
      <c r="M65" s="4" t="s">
        <v>23</v>
      </c>
      <c r="N65" s="4">
        <v>0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9"/>
      <c r="AC65" s="5">
        <v>-0.13427269977072009</v>
      </c>
      <c r="AD65" s="5">
        <v>-0.110581043788365</v>
      </c>
      <c r="AE65" s="5">
        <v>0.124452443226524</v>
      </c>
      <c r="AF65" s="5">
        <v>0.110581043788365</v>
      </c>
      <c r="AG65" s="5">
        <v>0.13427269977072009</v>
      </c>
      <c r="AH65" s="5">
        <v>-0.124452443226524</v>
      </c>
    </row>
    <row r="66" spans="2:34" x14ac:dyDescent="0.2">
      <c r="B66" s="4">
        <v>2025</v>
      </c>
      <c r="C66" s="4">
        <v>10</v>
      </c>
      <c r="D66" s="4" t="s">
        <v>14</v>
      </c>
      <c r="E66" s="4" t="s">
        <v>37</v>
      </c>
      <c r="F66" s="4"/>
      <c r="G66" s="4"/>
      <c r="H66" s="8">
        <v>0.76598917121730903</v>
      </c>
      <c r="I66" s="4">
        <v>-327</v>
      </c>
      <c r="J66" s="8">
        <v>0.23401082878269</v>
      </c>
      <c r="K66" s="4">
        <v>327</v>
      </c>
      <c r="L66" s="4" t="s">
        <v>14</v>
      </c>
      <c r="M66" s="4" t="s">
        <v>14</v>
      </c>
      <c r="N66" s="4">
        <v>1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9"/>
      <c r="AC66" s="5">
        <v>-0.30538678573349698</v>
      </c>
      <c r="AD66" s="5">
        <v>0.392629400889078</v>
      </c>
      <c r="AE66" s="5">
        <v>6.5123500823974598E-2</v>
      </c>
      <c r="AF66" s="5">
        <v>-0.392629400889078</v>
      </c>
      <c r="AG66" s="5">
        <v>0.30538678573349698</v>
      </c>
      <c r="AH66" s="5">
        <v>-6.5123500823974598E-2</v>
      </c>
    </row>
    <row r="67" spans="2:34" x14ac:dyDescent="0.2">
      <c r="B67" s="4">
        <v>2025</v>
      </c>
      <c r="C67" s="4">
        <v>10</v>
      </c>
      <c r="D67" s="4" t="s">
        <v>22</v>
      </c>
      <c r="E67" s="4" t="s">
        <v>49</v>
      </c>
      <c r="F67" s="4"/>
      <c r="G67" s="4"/>
      <c r="H67" s="8">
        <v>0.71280530613369497</v>
      </c>
      <c r="I67" s="4">
        <v>-248</v>
      </c>
      <c r="J67" s="8">
        <v>0.28719469386630397</v>
      </c>
      <c r="K67" s="4">
        <v>248</v>
      </c>
      <c r="L67" s="4" t="s">
        <v>22</v>
      </c>
      <c r="M67" s="4" t="s">
        <v>22</v>
      </c>
      <c r="N67" s="4">
        <v>1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9"/>
      <c r="AC67" s="5">
        <v>0.163817656667608</v>
      </c>
      <c r="AD67" s="5">
        <v>2.3067955110893799E-2</v>
      </c>
      <c r="AE67" s="5">
        <v>-0.120909542872987</v>
      </c>
      <c r="AF67" s="5">
        <v>-2.3067955110893799E-2</v>
      </c>
      <c r="AG67" s="5">
        <v>-0.163817656667608</v>
      </c>
      <c r="AH67" s="5">
        <v>0.120909542872987</v>
      </c>
    </row>
    <row r="68" spans="2:34" x14ac:dyDescent="0.2">
      <c r="B68" s="4">
        <v>2025</v>
      </c>
      <c r="C68" s="4">
        <v>10</v>
      </c>
      <c r="D68" s="4" t="s">
        <v>19</v>
      </c>
      <c r="E68" s="4" t="s">
        <v>31</v>
      </c>
      <c r="F68" s="4"/>
      <c r="G68" s="4"/>
      <c r="H68" s="8">
        <v>0.70590823170121897</v>
      </c>
      <c r="I68" s="4">
        <v>-240</v>
      </c>
      <c r="J68" s="8">
        <v>0.29409176829877998</v>
      </c>
      <c r="K68" s="4">
        <v>240</v>
      </c>
      <c r="L68" s="4" t="s">
        <v>19</v>
      </c>
      <c r="M68" s="4" t="s">
        <v>31</v>
      </c>
      <c r="N68" s="4">
        <v>0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9"/>
      <c r="AC68" s="5">
        <v>-0.30006108194027298</v>
      </c>
      <c r="AD68" s="5">
        <v>-0.14284026806171099</v>
      </c>
      <c r="AE68" s="5">
        <v>0.33378385752439499</v>
      </c>
      <c r="AF68" s="5">
        <v>0.14284026806171099</v>
      </c>
      <c r="AG68" s="5">
        <v>0.30006108194027298</v>
      </c>
      <c r="AH68" s="5">
        <v>-0.33378385752439499</v>
      </c>
    </row>
    <row r="69" spans="2:34" x14ac:dyDescent="0.2">
      <c r="B69" s="4">
        <v>2025</v>
      </c>
      <c r="C69" s="4">
        <v>10</v>
      </c>
      <c r="D69" s="4" t="s">
        <v>53</v>
      </c>
      <c r="E69" s="4" t="s">
        <v>10</v>
      </c>
      <c r="F69" s="4"/>
      <c r="G69" s="4"/>
      <c r="H69" s="8">
        <v>0.59132934265404202</v>
      </c>
      <c r="I69" s="4">
        <v>-144</v>
      </c>
      <c r="J69" s="8">
        <v>0.40867065734595698</v>
      </c>
      <c r="K69" s="4">
        <v>144</v>
      </c>
      <c r="L69" s="4" t="s">
        <v>53</v>
      </c>
      <c r="M69" s="4" t="s">
        <v>53</v>
      </c>
      <c r="N69" s="4">
        <v>1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9"/>
      <c r="AC69" s="5">
        <v>7.6580394398082299E-2</v>
      </c>
      <c r="AD69" s="5">
        <v>5.45723960824208E-3</v>
      </c>
      <c r="AE69" s="5">
        <v>-1.54433101415634E-2</v>
      </c>
      <c r="AF69" s="5">
        <v>-5.45723960824208E-3</v>
      </c>
      <c r="AG69" s="5">
        <v>-7.6580394398082299E-2</v>
      </c>
      <c r="AH69" s="5">
        <v>1.54433101415634E-2</v>
      </c>
    </row>
    <row r="70" spans="2:34" x14ac:dyDescent="0.2">
      <c r="B70" s="4">
        <v>2025</v>
      </c>
      <c r="C70" s="4">
        <v>10</v>
      </c>
      <c r="D70" s="4" t="s">
        <v>85</v>
      </c>
      <c r="E70" s="4" t="s">
        <v>25</v>
      </c>
      <c r="F70" s="4"/>
      <c r="G70" s="4"/>
      <c r="H70" s="8">
        <v>0.62953558635408002</v>
      </c>
      <c r="I70" s="4">
        <v>-169</v>
      </c>
      <c r="J70" s="8">
        <v>0.37046441364591898</v>
      </c>
      <c r="K70" s="4">
        <v>169</v>
      </c>
      <c r="L70" s="4" t="s">
        <v>85</v>
      </c>
      <c r="M70" s="4" t="s">
        <v>85</v>
      </c>
      <c r="N70" s="4">
        <v>1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9"/>
      <c r="AC70" s="5">
        <v>0.119246615303887</v>
      </c>
      <c r="AD70" s="5">
        <v>0.17853055234815199</v>
      </c>
      <c r="AE70" s="5">
        <v>-0.35401583128962</v>
      </c>
      <c r="AF70" s="5">
        <v>-0.17853055234815199</v>
      </c>
      <c r="AG70" s="5">
        <v>-0.119246615303887</v>
      </c>
      <c r="AH70" s="5">
        <v>0.35401583128962</v>
      </c>
    </row>
    <row r="71" spans="2:34" x14ac:dyDescent="0.2">
      <c r="B71" s="4">
        <v>2025</v>
      </c>
      <c r="C71" s="4">
        <v>10</v>
      </c>
      <c r="D71" s="4" t="s">
        <v>28</v>
      </c>
      <c r="E71" s="4" t="s">
        <v>50</v>
      </c>
      <c r="F71" s="4"/>
      <c r="G71" s="4"/>
      <c r="H71" s="8">
        <v>0.26774882612290102</v>
      </c>
      <c r="I71" s="4">
        <v>273</v>
      </c>
      <c r="J71" s="8">
        <v>0.73225117387709804</v>
      </c>
      <c r="K71" s="4">
        <v>-273</v>
      </c>
      <c r="L71" s="4" t="s">
        <v>50</v>
      </c>
      <c r="M71" s="4" t="s">
        <v>28</v>
      </c>
      <c r="N71" s="4">
        <v>0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9"/>
      <c r="AC71" s="5">
        <v>0.31231633354635802</v>
      </c>
      <c r="AD71" s="5">
        <v>6.9657404031326503E-2</v>
      </c>
      <c r="AE71" s="5">
        <v>0.107619822025299</v>
      </c>
      <c r="AF71" s="5">
        <v>-6.9657404031326503E-2</v>
      </c>
      <c r="AG71" s="5">
        <v>-0.31231633354635802</v>
      </c>
      <c r="AH71" s="5">
        <v>-0.107619822025299</v>
      </c>
    </row>
    <row r="72" spans="2:34" x14ac:dyDescent="0.2">
      <c r="B72" s="4">
        <v>2025</v>
      </c>
      <c r="C72" s="4">
        <v>10</v>
      </c>
      <c r="D72" s="4" t="s">
        <v>77</v>
      </c>
      <c r="E72" s="4" t="s">
        <v>16</v>
      </c>
      <c r="F72" s="4"/>
      <c r="G72" s="4"/>
      <c r="H72" s="8">
        <v>0.44864183156943999</v>
      </c>
      <c r="I72" s="4">
        <v>122</v>
      </c>
      <c r="J72" s="8">
        <v>0.55135816843055996</v>
      </c>
      <c r="K72" s="4">
        <v>-122</v>
      </c>
      <c r="L72" s="4" t="s">
        <v>16</v>
      </c>
      <c r="M72" s="4" t="s">
        <v>16</v>
      </c>
      <c r="N72" s="4">
        <v>1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9"/>
      <c r="AC72" s="5">
        <v>-7.0839390158653204E-2</v>
      </c>
      <c r="AD72" s="5">
        <v>-1.02642423966351E-2</v>
      </c>
      <c r="AE72" s="5">
        <v>-0.13717836141586301</v>
      </c>
      <c r="AF72" s="5">
        <v>1.02642423966351E-2</v>
      </c>
      <c r="AG72" s="5">
        <v>7.0839390158653204E-2</v>
      </c>
      <c r="AH72" s="5">
        <v>0.13717836141586301</v>
      </c>
    </row>
    <row r="73" spans="2:34" x14ac:dyDescent="0.2">
      <c r="B73" s="4">
        <v>2025</v>
      </c>
      <c r="C73" s="4">
        <v>10</v>
      </c>
      <c r="D73" s="4" t="s">
        <v>13</v>
      </c>
      <c r="E73" s="4" t="s">
        <v>35</v>
      </c>
      <c r="F73" s="4"/>
      <c r="G73" s="4"/>
      <c r="H73" s="8">
        <v>0.63435391712634004</v>
      </c>
      <c r="I73" s="4">
        <v>-173</v>
      </c>
      <c r="J73" s="8">
        <v>0.36564608287365902</v>
      </c>
      <c r="K73" s="4">
        <v>173</v>
      </c>
      <c r="L73" s="4" t="s">
        <v>13</v>
      </c>
      <c r="M73" s="4" t="s">
        <v>13</v>
      </c>
      <c r="N73" s="4">
        <v>1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9"/>
      <c r="AC73" s="5">
        <v>-0.24411570772211599</v>
      </c>
      <c r="AD73" s="5">
        <v>4.3361252301359801E-2</v>
      </c>
      <c r="AE73" s="5">
        <v>0.467541448531612</v>
      </c>
      <c r="AF73" s="5">
        <v>-4.3361252301359801E-2</v>
      </c>
      <c r="AG73" s="5">
        <v>0.24411570772211599</v>
      </c>
      <c r="AH73" s="5">
        <v>-0.467541448531612</v>
      </c>
    </row>
    <row r="74" spans="2:34" x14ac:dyDescent="0.2">
      <c r="B74" s="4">
        <v>2025</v>
      </c>
      <c r="C74" s="4">
        <v>10</v>
      </c>
      <c r="D74" s="4" t="s">
        <v>43</v>
      </c>
      <c r="E74" s="4" t="s">
        <v>32</v>
      </c>
      <c r="F74" s="4"/>
      <c r="G74" s="4"/>
      <c r="H74" s="8">
        <v>0.54090551862789005</v>
      </c>
      <c r="I74" s="4">
        <v>-117</v>
      </c>
      <c r="J74" s="8">
        <v>0.45909448137210901</v>
      </c>
      <c r="K74" s="4">
        <v>117</v>
      </c>
      <c r="L74" s="4" t="s">
        <v>43</v>
      </c>
      <c r="M74" s="4" t="s">
        <v>32</v>
      </c>
      <c r="N74" s="4">
        <v>0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9"/>
      <c r="AC74" s="5">
        <v>6.7429121802834904E-2</v>
      </c>
      <c r="AD74" s="5">
        <v>-0.19361867904662999</v>
      </c>
      <c r="AE74" s="5">
        <v>-3.2632189137594997E-2</v>
      </c>
      <c r="AF74" s="5">
        <v>0.19361867904662999</v>
      </c>
      <c r="AG74" s="5">
        <v>-6.7429121802834904E-2</v>
      </c>
      <c r="AH74" s="5">
        <v>3.2632189137594997E-2</v>
      </c>
    </row>
    <row r="75" spans="2:34" x14ac:dyDescent="0.2">
      <c r="B75" s="4">
        <v>2025</v>
      </c>
      <c r="C75" s="4">
        <v>10</v>
      </c>
      <c r="D75" s="4" t="s">
        <v>26</v>
      </c>
      <c r="E75" s="4" t="s">
        <v>23</v>
      </c>
      <c r="F75" s="4"/>
      <c r="G75" s="4"/>
      <c r="H75" s="8">
        <v>0.60361180365995204</v>
      </c>
      <c r="I75" s="4">
        <v>-152</v>
      </c>
      <c r="J75" s="8">
        <v>0.39638819634004702</v>
      </c>
      <c r="K75" s="4">
        <v>152</v>
      </c>
      <c r="L75" s="4" t="s">
        <v>26</v>
      </c>
      <c r="M75" s="4" t="s">
        <v>26</v>
      </c>
      <c r="N75" s="4">
        <v>1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9"/>
      <c r="AC75" s="5">
        <v>8.7747590583667406E-2</v>
      </c>
      <c r="AD75" s="5">
        <v>0.22612943013509099</v>
      </c>
      <c r="AE75" s="5">
        <v>0.19157504609652901</v>
      </c>
      <c r="AF75" s="5">
        <v>-0.22612943013509099</v>
      </c>
      <c r="AG75" s="5">
        <v>-8.7747590583667406E-2</v>
      </c>
      <c r="AH75" s="5">
        <v>-0.19157504609652901</v>
      </c>
    </row>
    <row r="76" spans="2:34" x14ac:dyDescent="0.2">
      <c r="B76" s="4">
        <v>2025</v>
      </c>
      <c r="C76" s="4">
        <v>10</v>
      </c>
      <c r="D76" s="4" t="s">
        <v>44</v>
      </c>
      <c r="E76" s="4" t="s">
        <v>17</v>
      </c>
      <c r="F76" s="4"/>
      <c r="G76" s="4"/>
      <c r="H76" s="8">
        <v>0.37630172519376898</v>
      </c>
      <c r="I76" s="4">
        <v>165</v>
      </c>
      <c r="J76" s="8">
        <v>0.62369827480623097</v>
      </c>
      <c r="K76" s="4">
        <v>-165</v>
      </c>
      <c r="L76" s="4" t="s">
        <v>17</v>
      </c>
      <c r="M76" s="4" t="s">
        <v>17</v>
      </c>
      <c r="N76" s="4">
        <v>1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9"/>
      <c r="AC76" s="5">
        <v>0.129427033085976</v>
      </c>
      <c r="AD76" s="5">
        <v>-0.41414830134465103</v>
      </c>
      <c r="AE76" s="5">
        <v>-2.97218469473031E-2</v>
      </c>
      <c r="AF76" s="5">
        <v>0.41414830134465103</v>
      </c>
      <c r="AG76" s="5">
        <v>-0.129427033085976</v>
      </c>
      <c r="AH76" s="5">
        <v>2.97218469473031E-2</v>
      </c>
    </row>
    <row r="77" spans="2:34" x14ac:dyDescent="0.2">
      <c r="B77" s="4">
        <v>2025</v>
      </c>
      <c r="C77" s="4">
        <v>10</v>
      </c>
      <c r="D77" s="4" t="s">
        <v>52</v>
      </c>
      <c r="E77" s="4" t="s">
        <v>47</v>
      </c>
      <c r="F77" s="4"/>
      <c r="G77" s="4"/>
      <c r="H77" s="8">
        <v>0.32988906538198298</v>
      </c>
      <c r="I77" s="4">
        <v>203</v>
      </c>
      <c r="J77" s="8">
        <v>0.67011093461801596</v>
      </c>
      <c r="K77" s="4">
        <v>-203</v>
      </c>
      <c r="L77" s="4" t="s">
        <v>47</v>
      </c>
      <c r="M77" s="4" t="s">
        <v>47</v>
      </c>
      <c r="N77" s="4">
        <v>1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9"/>
      <c r="AC77" s="5">
        <v>0.213706353131462</v>
      </c>
      <c r="AD77" s="5">
        <v>-0.49142588739809701</v>
      </c>
      <c r="AE77" s="5">
        <v>-5.0597828010032903E-2</v>
      </c>
      <c r="AF77" s="5">
        <v>0.49142588739809701</v>
      </c>
      <c r="AG77" s="5">
        <v>-0.213706353131462</v>
      </c>
      <c r="AH77" s="5">
        <v>5.0597828010032903E-2</v>
      </c>
    </row>
    <row r="78" spans="2:34" x14ac:dyDescent="0.2">
      <c r="B78" s="4">
        <v>2025</v>
      </c>
      <c r="C78" s="4">
        <v>10</v>
      </c>
      <c r="D78" s="4" t="s">
        <v>29</v>
      </c>
      <c r="E78" s="4" t="s">
        <v>34</v>
      </c>
      <c r="F78" s="4"/>
      <c r="G78" s="4"/>
      <c r="H78" s="8">
        <v>0.64365103697371895</v>
      </c>
      <c r="I78" s="4">
        <v>-180</v>
      </c>
      <c r="J78" s="8">
        <v>0.35634896302628</v>
      </c>
      <c r="K78" s="4">
        <v>180</v>
      </c>
      <c r="L78" s="4" t="s">
        <v>29</v>
      </c>
      <c r="M78" s="4" t="s">
        <v>29</v>
      </c>
      <c r="N78" s="4">
        <v>1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9"/>
      <c r="AC78" s="5">
        <v>-0.11164817545149</v>
      </c>
      <c r="AD78" s="5">
        <v>0.37294952686016303</v>
      </c>
      <c r="AE78" s="5">
        <v>0.22981030686662099</v>
      </c>
      <c r="AF78" s="5">
        <v>-0.37294952686016303</v>
      </c>
      <c r="AG78" s="5">
        <v>0.11164817545149</v>
      </c>
      <c r="AH78" s="5">
        <v>-0.22981030686662099</v>
      </c>
    </row>
    <row r="79" spans="2:34" x14ac:dyDescent="0.2">
      <c r="B79" s="4">
        <v>2025</v>
      </c>
      <c r="C79" s="4">
        <v>10</v>
      </c>
      <c r="D79" s="4" t="s">
        <v>40</v>
      </c>
      <c r="E79" s="4" t="s">
        <v>11</v>
      </c>
      <c r="F79" s="4"/>
      <c r="G79" s="4"/>
      <c r="H79" s="8">
        <v>0.54854360552546999</v>
      </c>
      <c r="I79" s="4">
        <v>-121</v>
      </c>
      <c r="J79" s="8">
        <v>0.45145639447452901</v>
      </c>
      <c r="K79" s="4">
        <v>121</v>
      </c>
      <c r="L79" s="4" t="s">
        <v>40</v>
      </c>
      <c r="M79" s="4" t="s">
        <v>11</v>
      </c>
      <c r="N79" s="4">
        <v>0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9"/>
      <c r="AC79" s="5">
        <v>-0.15282585371786001</v>
      </c>
      <c r="AD79" s="5">
        <v>6.9291402423192497E-2</v>
      </c>
      <c r="AE79" s="5">
        <v>-3.6483339573207603E-2</v>
      </c>
      <c r="AF79" s="5">
        <v>-6.9291402423192497E-2</v>
      </c>
      <c r="AG79" s="5">
        <v>0.15282585371786001</v>
      </c>
      <c r="AH79" s="5">
        <v>3.6483339573207603E-2</v>
      </c>
    </row>
    <row r="80" spans="2:34" x14ac:dyDescent="0.2">
      <c r="B80" s="4">
        <v>2025</v>
      </c>
      <c r="C80" s="4">
        <v>11</v>
      </c>
      <c r="D80" s="4" t="s">
        <v>32</v>
      </c>
      <c r="E80" s="4" t="s">
        <v>13</v>
      </c>
      <c r="F80" s="4"/>
      <c r="G80" s="4"/>
      <c r="H80" s="8">
        <v>0.73413241799196705</v>
      </c>
      <c r="I80" s="4">
        <v>-276</v>
      </c>
      <c r="J80" s="8">
        <v>0.26586758200803201</v>
      </c>
      <c r="K80" s="4">
        <v>276</v>
      </c>
      <c r="L80" s="4" t="s">
        <v>32</v>
      </c>
      <c r="M80" s="4" t="s">
        <v>32</v>
      </c>
      <c r="N80" s="4">
        <v>1</v>
      </c>
      <c r="O80" s="15">
        <v>25.5283693254224</v>
      </c>
      <c r="P80" s="15">
        <v>20.223730455376899</v>
      </c>
      <c r="Q80" s="4">
        <v>12.5</v>
      </c>
      <c r="R80" s="15">
        <v>5.3046388700454301</v>
      </c>
      <c r="S80" s="4" t="s">
        <v>138</v>
      </c>
      <c r="T80" s="4">
        <v>13</v>
      </c>
      <c r="U80" s="4" t="s">
        <v>139</v>
      </c>
      <c r="V80" s="4">
        <v>0</v>
      </c>
      <c r="W80" s="4">
        <v>43.5</v>
      </c>
      <c r="X80" s="9">
        <v>45.752099780799298</v>
      </c>
      <c r="Y80" s="4" t="s">
        <v>140</v>
      </c>
      <c r="Z80" s="4">
        <v>41</v>
      </c>
      <c r="AA80" s="4" t="s">
        <v>141</v>
      </c>
      <c r="AB80" s="4">
        <v>0</v>
      </c>
      <c r="AC80" s="5">
        <v>0.13845151662826499</v>
      </c>
      <c r="AD80" s="5">
        <v>8.5097379851759497E-2</v>
      </c>
      <c r="AE80" s="5">
        <v>-2.5755164623260499E-2</v>
      </c>
      <c r="AF80" s="5">
        <v>-8.5097379851759497E-2</v>
      </c>
      <c r="AG80" s="5">
        <v>-0.13845151662826499</v>
      </c>
      <c r="AH80" s="5">
        <v>2.5755164623260499E-2</v>
      </c>
    </row>
    <row r="81" spans="2:34" x14ac:dyDescent="0.2">
      <c r="B81" s="4">
        <v>2025</v>
      </c>
      <c r="C81" s="4">
        <v>11</v>
      </c>
      <c r="D81" s="4" t="s">
        <v>28</v>
      </c>
      <c r="E81" s="4" t="s">
        <v>52</v>
      </c>
      <c r="F81" s="4"/>
      <c r="G81" s="4"/>
      <c r="H81" s="8">
        <v>0.52678544076996603</v>
      </c>
      <c r="I81" s="4">
        <v>-111</v>
      </c>
      <c r="J81" s="8">
        <v>0.47321455923003303</v>
      </c>
      <c r="K81" s="4">
        <v>111</v>
      </c>
      <c r="L81" s="4" t="s">
        <v>28</v>
      </c>
      <c r="M81" s="4" t="s">
        <v>28</v>
      </c>
      <c r="N81" s="4">
        <v>1</v>
      </c>
      <c r="O81" s="15">
        <v>24.527074446902901</v>
      </c>
      <c r="P81" s="15">
        <v>24.057862414867401</v>
      </c>
      <c r="Q81" s="4">
        <v>2.5</v>
      </c>
      <c r="R81" s="15">
        <v>0.46921203203550299</v>
      </c>
      <c r="S81" s="4" t="s">
        <v>138</v>
      </c>
      <c r="T81" s="4">
        <v>3</v>
      </c>
      <c r="U81" s="4" t="s">
        <v>139</v>
      </c>
      <c r="V81" s="4">
        <v>0</v>
      </c>
      <c r="W81" s="4">
        <v>47.5</v>
      </c>
      <c r="X81" s="9">
        <v>48.584936861770302</v>
      </c>
      <c r="Y81" s="4" t="s">
        <v>140</v>
      </c>
      <c r="Z81" s="4">
        <v>29</v>
      </c>
      <c r="AA81" s="4" t="s">
        <v>141</v>
      </c>
      <c r="AB81" s="4">
        <v>0</v>
      </c>
      <c r="AC81" s="5">
        <v>-6.6568372505051701E-3</v>
      </c>
      <c r="AD81" s="5">
        <v>-8.1908560510891501E-2</v>
      </c>
      <c r="AE81" s="5">
        <v>0.525942802429199</v>
      </c>
      <c r="AF81" s="5">
        <v>8.1908560510891501E-2</v>
      </c>
      <c r="AG81" s="5">
        <v>6.6568372505051701E-3</v>
      </c>
      <c r="AH81" s="5">
        <v>-0.525942802429199</v>
      </c>
    </row>
    <row r="82" spans="2:34" x14ac:dyDescent="0.2">
      <c r="B82" s="4">
        <v>2025</v>
      </c>
      <c r="C82" s="4">
        <v>11</v>
      </c>
      <c r="D82" s="4" t="s">
        <v>49</v>
      </c>
      <c r="E82" s="4" t="s">
        <v>19</v>
      </c>
      <c r="F82" s="4"/>
      <c r="G82" s="4"/>
      <c r="H82" s="8">
        <v>0.51452567535983895</v>
      </c>
      <c r="I82" s="4">
        <v>-105</v>
      </c>
      <c r="J82" s="8">
        <v>0.48547432464015999</v>
      </c>
      <c r="K82" s="4">
        <v>105</v>
      </c>
      <c r="L82" s="4" t="s">
        <v>49</v>
      </c>
      <c r="M82" s="4" t="s">
        <v>19</v>
      </c>
      <c r="N82" s="4">
        <v>0</v>
      </c>
      <c r="O82" s="15">
        <v>22.071650167550398</v>
      </c>
      <c r="P82" s="15">
        <v>22.1224934082529</v>
      </c>
      <c r="Q82" s="4">
        <v>4.5</v>
      </c>
      <c r="R82" s="9">
        <v>-5.0843240702572901E-2</v>
      </c>
      <c r="S82" s="4" t="s">
        <v>138</v>
      </c>
      <c r="T82" s="4">
        <v>-3</v>
      </c>
      <c r="U82" s="4" t="s">
        <v>138</v>
      </c>
      <c r="V82" s="4">
        <v>1</v>
      </c>
      <c r="W82" s="4">
        <v>42.5</v>
      </c>
      <c r="X82" s="9">
        <v>44.194143575803302</v>
      </c>
      <c r="Y82" s="4" t="s">
        <v>140</v>
      </c>
      <c r="Z82" s="4">
        <v>57</v>
      </c>
      <c r="AA82" s="4" t="s">
        <v>140</v>
      </c>
      <c r="AB82" s="4">
        <v>1</v>
      </c>
      <c r="AC82" s="5">
        <v>8.8263251564719397E-2</v>
      </c>
      <c r="AD82" s="5">
        <v>-9.7721842976359496E-2</v>
      </c>
      <c r="AE82" s="5">
        <v>-0.147409588098526</v>
      </c>
      <c r="AF82" s="5">
        <v>9.7721842976359496E-2</v>
      </c>
      <c r="AG82" s="5">
        <v>-8.8263251564719397E-2</v>
      </c>
      <c r="AH82" s="5">
        <v>0.147409588098526</v>
      </c>
    </row>
    <row r="83" spans="2:34" x14ac:dyDescent="0.2">
      <c r="B83" s="4">
        <v>2025</v>
      </c>
      <c r="C83" s="4">
        <v>11</v>
      </c>
      <c r="D83" s="4" t="s">
        <v>50</v>
      </c>
      <c r="E83" s="4" t="s">
        <v>43</v>
      </c>
      <c r="F83" s="4"/>
      <c r="G83" s="4"/>
      <c r="H83" s="8">
        <v>0.507731789228138</v>
      </c>
      <c r="I83" s="4">
        <v>-103</v>
      </c>
      <c r="J83" s="8">
        <v>0.492268210771861</v>
      </c>
      <c r="K83" s="4">
        <v>103</v>
      </c>
      <c r="L83" s="4" t="s">
        <v>50</v>
      </c>
      <c r="M83" s="4" t="s">
        <v>50</v>
      </c>
      <c r="N83" s="4">
        <v>1</v>
      </c>
      <c r="O83" s="15">
        <v>23.286360623722398</v>
      </c>
      <c r="P83" s="15">
        <v>23.4779267183612</v>
      </c>
      <c r="Q83" s="4">
        <v>6</v>
      </c>
      <c r="R83" s="9">
        <v>-0.19156609463870899</v>
      </c>
      <c r="S83" s="4" t="s">
        <v>138</v>
      </c>
      <c r="T83" s="4">
        <v>12</v>
      </c>
      <c r="U83" s="4" t="s">
        <v>139</v>
      </c>
      <c r="V83" s="4">
        <v>0</v>
      </c>
      <c r="W83" s="4">
        <v>46.5</v>
      </c>
      <c r="X83" s="9">
        <v>46.764287342083698</v>
      </c>
      <c r="Y83" s="4" t="s">
        <v>140</v>
      </c>
      <c r="Z83" s="4">
        <v>76</v>
      </c>
      <c r="AA83" s="4" t="s">
        <v>140</v>
      </c>
      <c r="AB83" s="4">
        <v>1</v>
      </c>
      <c r="AC83" s="5">
        <v>0.30272924249822403</v>
      </c>
      <c r="AD83" s="5">
        <v>-9.9317249129800195E-2</v>
      </c>
      <c r="AE83" s="5">
        <v>6.7811171213785798E-2</v>
      </c>
      <c r="AF83" s="5">
        <v>9.9317249129800195E-2</v>
      </c>
      <c r="AG83" s="5">
        <v>-0.30272924249822403</v>
      </c>
      <c r="AH83" s="5">
        <v>-6.7811171213785798E-2</v>
      </c>
    </row>
    <row r="84" spans="2:34" x14ac:dyDescent="0.2">
      <c r="B84" s="4">
        <v>2025</v>
      </c>
      <c r="C84" s="4">
        <v>11</v>
      </c>
      <c r="D84" s="4" t="s">
        <v>25</v>
      </c>
      <c r="E84" s="4" t="s">
        <v>29</v>
      </c>
      <c r="F84" s="4"/>
      <c r="G84" s="4"/>
      <c r="H84" s="8">
        <v>0.36620121932708899</v>
      </c>
      <c r="I84" s="4">
        <v>173</v>
      </c>
      <c r="J84" s="8">
        <v>0.63379878067290996</v>
      </c>
      <c r="K84" s="4">
        <v>-173</v>
      </c>
      <c r="L84" s="4" t="s">
        <v>29</v>
      </c>
      <c r="M84" s="4" t="s">
        <v>25</v>
      </c>
      <c r="N84" s="4">
        <v>0</v>
      </c>
      <c r="O84" s="15">
        <v>21.930669471707699</v>
      </c>
      <c r="P84" s="15">
        <v>23.7318117665038</v>
      </c>
      <c r="Q84" s="4">
        <v>-3</v>
      </c>
      <c r="R84" s="9">
        <v>-1.80114229479605</v>
      </c>
      <c r="S84" s="4" t="s">
        <v>139</v>
      </c>
      <c r="T84" s="4">
        <v>29</v>
      </c>
      <c r="U84" s="4" t="s">
        <v>139</v>
      </c>
      <c r="V84" s="4">
        <v>1</v>
      </c>
      <c r="W84" s="4">
        <v>43.5</v>
      </c>
      <c r="X84" s="9">
        <v>45.662481238211598</v>
      </c>
      <c r="Y84" s="4" t="s">
        <v>140</v>
      </c>
      <c r="Z84" s="4">
        <v>41</v>
      </c>
      <c r="AA84" s="4" t="s">
        <v>141</v>
      </c>
      <c r="AB84" s="4">
        <v>0</v>
      </c>
      <c r="AC84" s="5">
        <v>0.13688973977532101</v>
      </c>
      <c r="AD84" s="5">
        <v>0.470604658126831</v>
      </c>
      <c r="AE84" s="5">
        <v>-6.7403095960616999E-2</v>
      </c>
      <c r="AF84" s="5">
        <v>-0.470604658126831</v>
      </c>
      <c r="AG84" s="5">
        <v>-0.13688973977532101</v>
      </c>
      <c r="AH84" s="5">
        <v>6.7403095960616999E-2</v>
      </c>
    </row>
    <row r="85" spans="2:34" x14ac:dyDescent="0.2">
      <c r="B85" s="4">
        <v>2025</v>
      </c>
      <c r="C85" s="4">
        <v>11</v>
      </c>
      <c r="D85" s="4" t="s">
        <v>77</v>
      </c>
      <c r="E85" s="4" t="s">
        <v>53</v>
      </c>
      <c r="F85" s="4"/>
      <c r="G85" s="4"/>
      <c r="H85" s="8">
        <v>0.44461106270322898</v>
      </c>
      <c r="I85" s="4">
        <v>124</v>
      </c>
      <c r="J85" s="8">
        <v>0.55538893729676997</v>
      </c>
      <c r="K85" s="4">
        <v>-124</v>
      </c>
      <c r="L85" s="4" t="s">
        <v>53</v>
      </c>
      <c r="M85" s="4" t="s">
        <v>53</v>
      </c>
      <c r="N85" s="4">
        <v>1</v>
      </c>
      <c r="O85" s="15">
        <v>24.368538565216099</v>
      </c>
      <c r="P85" s="15">
        <v>21.6637862656866</v>
      </c>
      <c r="Q85" s="4">
        <v>3</v>
      </c>
      <c r="R85" s="15">
        <v>2.7047522995294999</v>
      </c>
      <c r="S85" s="4" t="s">
        <v>138</v>
      </c>
      <c r="T85" s="4">
        <v>-2</v>
      </c>
      <c r="U85" s="4" t="s">
        <v>138</v>
      </c>
      <c r="V85" s="4">
        <v>1</v>
      </c>
      <c r="W85" s="4">
        <v>47.5</v>
      </c>
      <c r="X85" s="9">
        <v>46.032324830902802</v>
      </c>
      <c r="Y85" s="4" t="s">
        <v>141</v>
      </c>
      <c r="Z85" s="4">
        <v>36</v>
      </c>
      <c r="AA85" s="4" t="s">
        <v>141</v>
      </c>
      <c r="AB85" s="4">
        <v>1</v>
      </c>
      <c r="AC85" s="5">
        <v>-0.176169863614169</v>
      </c>
      <c r="AD85" s="5">
        <v>6.3100865681966101E-2</v>
      </c>
      <c r="AE85" s="5">
        <v>3.2722870508829702E-3</v>
      </c>
      <c r="AF85" s="5">
        <v>-6.3100865681966101E-2</v>
      </c>
      <c r="AG85" s="5">
        <v>0.176169863614169</v>
      </c>
      <c r="AH85" s="5">
        <v>-3.2722870508829702E-3</v>
      </c>
    </row>
    <row r="86" spans="2:34" x14ac:dyDescent="0.2">
      <c r="B86" s="4">
        <v>2025</v>
      </c>
      <c r="C86" s="4">
        <v>11</v>
      </c>
      <c r="D86" s="4" t="s">
        <v>10</v>
      </c>
      <c r="E86" s="4" t="s">
        <v>40</v>
      </c>
      <c r="F86" s="4"/>
      <c r="G86" s="4"/>
      <c r="H86" s="8">
        <v>0.35652248221636301</v>
      </c>
      <c r="I86" s="4">
        <v>180</v>
      </c>
      <c r="J86" s="8">
        <v>0.64347751778363604</v>
      </c>
      <c r="K86" s="4">
        <v>-180</v>
      </c>
      <c r="L86" s="4" t="s">
        <v>40</v>
      </c>
      <c r="M86" s="4" t="s">
        <v>40</v>
      </c>
      <c r="N86" s="4">
        <v>1</v>
      </c>
      <c r="O86" s="15">
        <v>21.472942214323101</v>
      </c>
      <c r="P86" s="15">
        <v>29.823337950231299</v>
      </c>
      <c r="Q86" s="4">
        <v>-7.5</v>
      </c>
      <c r="R86" s="9">
        <v>-8.3503957359081493</v>
      </c>
      <c r="S86" s="4" t="s">
        <v>138</v>
      </c>
      <c r="T86" s="4">
        <v>-7</v>
      </c>
      <c r="U86" s="4" t="s">
        <v>139</v>
      </c>
      <c r="V86" s="4">
        <v>0</v>
      </c>
      <c r="W86" s="4">
        <v>41.5</v>
      </c>
      <c r="X86" s="9">
        <v>51.296280164554403</v>
      </c>
      <c r="Y86" s="4" t="s">
        <v>140</v>
      </c>
      <c r="Z86" s="4">
        <v>47</v>
      </c>
      <c r="AA86" s="4" t="s">
        <v>140</v>
      </c>
      <c r="AB86" s="4">
        <v>1</v>
      </c>
      <c r="AC86" s="5">
        <v>0.13630216894015401</v>
      </c>
      <c r="AD86" s="5">
        <v>-0.33779027726915101</v>
      </c>
      <c r="AE86" s="5">
        <v>1.35938240134197E-2</v>
      </c>
      <c r="AF86" s="5">
        <v>0.33779027726915101</v>
      </c>
      <c r="AG86" s="5">
        <v>-0.13630216894015401</v>
      </c>
      <c r="AH86" s="5">
        <v>-1.35938240134197E-2</v>
      </c>
    </row>
    <row r="87" spans="2:34" x14ac:dyDescent="0.2">
      <c r="B87" s="4">
        <v>2025</v>
      </c>
      <c r="C87" s="4">
        <v>11</v>
      </c>
      <c r="D87" s="4" t="s">
        <v>34</v>
      </c>
      <c r="E87" s="4" t="s">
        <v>41</v>
      </c>
      <c r="F87" s="4"/>
      <c r="G87" s="4"/>
      <c r="H87" s="8">
        <v>0.48976372718001498</v>
      </c>
      <c r="I87" s="4">
        <v>104</v>
      </c>
      <c r="J87" s="8">
        <v>0.51023627281998396</v>
      </c>
      <c r="K87" s="4">
        <v>-104</v>
      </c>
      <c r="L87" s="4" t="s">
        <v>41</v>
      </c>
      <c r="M87" s="4" t="s">
        <v>34</v>
      </c>
      <c r="N87" s="4">
        <v>0</v>
      </c>
      <c r="O87" s="15">
        <v>24.412030847143701</v>
      </c>
      <c r="P87" s="15">
        <v>23.292815054106001</v>
      </c>
      <c r="Q87" s="4">
        <v>5.5</v>
      </c>
      <c r="R87" s="15">
        <v>1.11921579303771</v>
      </c>
      <c r="S87" s="4" t="s">
        <v>138</v>
      </c>
      <c r="T87" s="4">
        <v>22</v>
      </c>
      <c r="U87" s="4" t="s">
        <v>139</v>
      </c>
      <c r="V87" s="4">
        <v>0</v>
      </c>
      <c r="W87" s="4">
        <v>48.5</v>
      </c>
      <c r="X87" s="9">
        <v>47.704845901249698</v>
      </c>
      <c r="Y87" s="4" t="s">
        <v>141</v>
      </c>
      <c r="Z87" s="4">
        <v>46</v>
      </c>
      <c r="AA87" s="4" t="s">
        <v>141</v>
      </c>
      <c r="AB87" s="4">
        <v>1</v>
      </c>
      <c r="AC87" s="5">
        <v>0.18347394466400099</v>
      </c>
      <c r="AD87" s="5">
        <v>0.17247109115123699</v>
      </c>
      <c r="AE87" s="5">
        <v>-6.6691480301044603E-2</v>
      </c>
      <c r="AF87" s="5">
        <v>-0.17247109115123699</v>
      </c>
      <c r="AG87" s="5">
        <v>-0.18347394466400099</v>
      </c>
      <c r="AH87" s="5">
        <v>6.6691480301044603E-2</v>
      </c>
    </row>
    <row r="88" spans="2:34" x14ac:dyDescent="0.2">
      <c r="B88" s="4">
        <v>2025</v>
      </c>
      <c r="C88" s="4">
        <v>11</v>
      </c>
      <c r="D88" s="4" t="s">
        <v>38</v>
      </c>
      <c r="E88" s="4" t="s">
        <v>85</v>
      </c>
      <c r="F88" s="4"/>
      <c r="G88" s="4"/>
      <c r="H88" s="8">
        <v>0.296163639609338</v>
      </c>
      <c r="I88" s="4">
        <v>237</v>
      </c>
      <c r="J88" s="8">
        <v>0.703836360390661</v>
      </c>
      <c r="K88" s="4">
        <v>-237</v>
      </c>
      <c r="L88" s="4" t="s">
        <v>85</v>
      </c>
      <c r="M88" s="4" t="s">
        <v>85</v>
      </c>
      <c r="N88" s="4">
        <v>1</v>
      </c>
      <c r="O88" s="15">
        <v>16.8629876337688</v>
      </c>
      <c r="P88" s="15">
        <v>25.645130148032599</v>
      </c>
      <c r="Q88" s="4">
        <v>-5.5</v>
      </c>
      <c r="R88" s="9">
        <v>-8.7821425142637892</v>
      </c>
      <c r="S88" s="4" t="s">
        <v>138</v>
      </c>
      <c r="T88" s="4">
        <v>-3</v>
      </c>
      <c r="U88" s="4" t="s">
        <v>139</v>
      </c>
      <c r="V88" s="4">
        <v>0</v>
      </c>
      <c r="W88" s="4">
        <v>37.5</v>
      </c>
      <c r="X88" s="9">
        <v>42.508117781801403</v>
      </c>
      <c r="Y88" s="4" t="s">
        <v>140</v>
      </c>
      <c r="Z88" s="4">
        <v>29</v>
      </c>
      <c r="AA88" s="4" t="s">
        <v>141</v>
      </c>
      <c r="AB88" s="4">
        <v>0</v>
      </c>
      <c r="AC88" s="5">
        <v>-9.6223604881157304E-2</v>
      </c>
      <c r="AD88" s="5">
        <v>6.5306922367640893E-2</v>
      </c>
      <c r="AE88" s="5">
        <v>8.4802499184241598E-2</v>
      </c>
      <c r="AF88" s="5">
        <v>-6.5306922367640893E-2</v>
      </c>
      <c r="AG88" s="5">
        <v>9.6223604881157304E-2</v>
      </c>
      <c r="AH88" s="5">
        <v>-8.4802499184241598E-2</v>
      </c>
    </row>
    <row r="89" spans="2:34" x14ac:dyDescent="0.2">
      <c r="B89" s="4">
        <v>2025</v>
      </c>
      <c r="C89" s="4">
        <v>11</v>
      </c>
      <c r="D89" s="4" t="s">
        <v>23</v>
      </c>
      <c r="E89" s="4" t="s">
        <v>44</v>
      </c>
      <c r="F89" s="4"/>
      <c r="G89" s="4"/>
      <c r="H89" s="8">
        <v>0.48029549958302498</v>
      </c>
      <c r="I89" s="4">
        <v>108</v>
      </c>
      <c r="J89" s="8">
        <v>0.51970450041697402</v>
      </c>
      <c r="K89" s="4">
        <v>-108</v>
      </c>
      <c r="L89" s="4" t="s">
        <v>44</v>
      </c>
      <c r="M89" s="4" t="s">
        <v>44</v>
      </c>
      <c r="N89" s="4">
        <v>1</v>
      </c>
      <c r="O89" s="15">
        <v>23.5460269119096</v>
      </c>
      <c r="P89" s="15">
        <v>23.679698239809099</v>
      </c>
      <c r="Q89" s="4">
        <v>-3.5</v>
      </c>
      <c r="R89" s="9">
        <v>-0.13367132789944899</v>
      </c>
      <c r="S89" s="4" t="s">
        <v>139</v>
      </c>
      <c r="T89" s="4">
        <v>-19</v>
      </c>
      <c r="U89" s="4" t="s">
        <v>138</v>
      </c>
      <c r="V89" s="4">
        <v>0</v>
      </c>
      <c r="W89" s="4">
        <v>48.5</v>
      </c>
      <c r="X89" s="9">
        <v>47.225725151718798</v>
      </c>
      <c r="Y89" s="4" t="s">
        <v>141</v>
      </c>
      <c r="Z89" s="4">
        <v>63</v>
      </c>
      <c r="AA89" s="4" t="s">
        <v>140</v>
      </c>
      <c r="AB89" s="4">
        <v>0</v>
      </c>
      <c r="AC89" s="5">
        <v>-6.7925453186035102E-4</v>
      </c>
      <c r="AD89" s="5">
        <v>-0.21416486478319299</v>
      </c>
      <c r="AE89" s="5">
        <v>-0.416832685470581</v>
      </c>
      <c r="AF89" s="5">
        <v>0.21416486478319299</v>
      </c>
      <c r="AG89" s="5">
        <v>6.7925453186035102E-4</v>
      </c>
      <c r="AH89" s="5">
        <v>0.416832685470581</v>
      </c>
    </row>
    <row r="90" spans="2:34" x14ac:dyDescent="0.2">
      <c r="B90" s="4">
        <v>2025</v>
      </c>
      <c r="C90" s="4">
        <v>11</v>
      </c>
      <c r="D90" s="4" t="s">
        <v>17</v>
      </c>
      <c r="E90" s="4" t="s">
        <v>26</v>
      </c>
      <c r="F90" s="4"/>
      <c r="G90" s="4"/>
      <c r="H90" s="8">
        <v>0.58877447100980296</v>
      </c>
      <c r="I90" s="4">
        <v>-143</v>
      </c>
      <c r="J90" s="8">
        <v>0.41122552899019599</v>
      </c>
      <c r="K90" s="4">
        <v>143</v>
      </c>
      <c r="L90" s="4" t="s">
        <v>17</v>
      </c>
      <c r="M90" s="4" t="s">
        <v>17</v>
      </c>
      <c r="N90" s="4">
        <v>1</v>
      </c>
      <c r="O90" s="15">
        <v>26.636650654575</v>
      </c>
      <c r="P90" s="15">
        <v>21.599354552105702</v>
      </c>
      <c r="Q90" s="4">
        <v>3</v>
      </c>
      <c r="R90" s="15">
        <v>5.0372961024693401</v>
      </c>
      <c r="S90" s="4" t="s">
        <v>139</v>
      </c>
      <c r="T90" s="4">
        <v>2</v>
      </c>
      <c r="U90" s="4" t="s">
        <v>138</v>
      </c>
      <c r="V90" s="4">
        <v>0</v>
      </c>
      <c r="W90" s="4">
        <v>49.5</v>
      </c>
      <c r="X90" s="9">
        <v>48.236005206680801</v>
      </c>
      <c r="Y90" s="4" t="s">
        <v>141</v>
      </c>
      <c r="Z90" s="4">
        <v>40</v>
      </c>
      <c r="AA90" s="4" t="s">
        <v>141</v>
      </c>
      <c r="AB90" s="4">
        <v>1</v>
      </c>
      <c r="AC90" s="5">
        <v>-0.19401060366163</v>
      </c>
      <c r="AD90" s="5">
        <v>0.18993500300816099</v>
      </c>
      <c r="AE90" s="5">
        <v>-0.175483721953171</v>
      </c>
      <c r="AF90" s="5">
        <v>-0.18993500300816099</v>
      </c>
      <c r="AG90" s="5">
        <v>0.19401060366163</v>
      </c>
      <c r="AH90" s="5">
        <v>0.175483721953171</v>
      </c>
    </row>
    <row r="91" spans="2:34" x14ac:dyDescent="0.2">
      <c r="B91" s="4">
        <v>2025</v>
      </c>
      <c r="C91" s="4">
        <v>11</v>
      </c>
      <c r="D91" s="4" t="s">
        <v>35</v>
      </c>
      <c r="E91" s="4" t="s">
        <v>16</v>
      </c>
      <c r="F91" s="4"/>
      <c r="G91" s="4"/>
      <c r="H91" s="8">
        <v>0.28322851812321898</v>
      </c>
      <c r="I91" s="4">
        <v>253</v>
      </c>
      <c r="J91" s="8">
        <v>0.71677148187677997</v>
      </c>
      <c r="K91" s="4">
        <v>-253</v>
      </c>
      <c r="L91" s="4" t="s">
        <v>16</v>
      </c>
      <c r="M91" s="4" t="s">
        <v>16</v>
      </c>
      <c r="N91" s="4">
        <v>1</v>
      </c>
      <c r="O91" s="15">
        <v>17.436788796091601</v>
      </c>
      <c r="P91" s="15">
        <v>24.534226908186799</v>
      </c>
      <c r="Q91" s="4">
        <v>-7.5</v>
      </c>
      <c r="R91" s="9">
        <v>-7.0974381120952499</v>
      </c>
      <c r="S91" s="4" t="s">
        <v>139</v>
      </c>
      <c r="T91" s="4">
        <v>-7</v>
      </c>
      <c r="U91" s="4" t="s">
        <v>139</v>
      </c>
      <c r="V91" s="4">
        <v>1</v>
      </c>
      <c r="W91" s="4">
        <v>37.5</v>
      </c>
      <c r="X91" s="9">
        <v>41.9710157042784</v>
      </c>
      <c r="Y91" s="4" t="s">
        <v>140</v>
      </c>
      <c r="Z91" s="4">
        <v>39</v>
      </c>
      <c r="AA91" s="4" t="s">
        <v>140</v>
      </c>
      <c r="AB91" s="4">
        <v>1</v>
      </c>
      <c r="AC91" s="5">
        <v>-0.43516581399100102</v>
      </c>
      <c r="AD91" s="5">
        <v>0.116594621690653</v>
      </c>
      <c r="AE91" s="5">
        <v>0.23310183684031099</v>
      </c>
      <c r="AF91" s="5">
        <v>-0.116594621690653</v>
      </c>
      <c r="AG91" s="5">
        <v>0.43516581399100102</v>
      </c>
      <c r="AH91" s="5">
        <v>-0.23310183684031099</v>
      </c>
    </row>
    <row r="92" spans="2:34" x14ac:dyDescent="0.2">
      <c r="B92" s="4">
        <v>2025</v>
      </c>
      <c r="C92" s="4">
        <v>11</v>
      </c>
      <c r="D92" s="4" t="s">
        <v>14</v>
      </c>
      <c r="E92" s="4" t="s">
        <v>46</v>
      </c>
      <c r="F92" s="4"/>
      <c r="G92" s="4"/>
      <c r="H92" s="8">
        <v>0.40480936629816</v>
      </c>
      <c r="I92" s="4">
        <v>147</v>
      </c>
      <c r="J92" s="8">
        <v>0.595190633701839</v>
      </c>
      <c r="K92" s="4">
        <v>-147</v>
      </c>
      <c r="L92" s="4" t="s">
        <v>46</v>
      </c>
      <c r="M92" s="4" t="s">
        <v>14</v>
      </c>
      <c r="N92" s="4">
        <v>0</v>
      </c>
      <c r="O92" s="15">
        <v>22.6543664620873</v>
      </c>
      <c r="P92" s="15">
        <v>24.6041641641167</v>
      </c>
      <c r="Q92" s="4">
        <v>-3.5</v>
      </c>
      <c r="R92" s="9">
        <v>-1.94979770202932</v>
      </c>
      <c r="S92" s="4" t="s">
        <v>139</v>
      </c>
      <c r="T92" s="4">
        <v>3</v>
      </c>
      <c r="U92" s="4" t="s">
        <v>139</v>
      </c>
      <c r="V92" s="4">
        <v>1</v>
      </c>
      <c r="W92" s="4">
        <v>44.5</v>
      </c>
      <c r="X92" s="9">
        <v>47.258530626204099</v>
      </c>
      <c r="Y92" s="4" t="s">
        <v>140</v>
      </c>
      <c r="Z92" s="4">
        <v>41</v>
      </c>
      <c r="AA92" s="4" t="s">
        <v>141</v>
      </c>
      <c r="AB92" s="4">
        <v>0</v>
      </c>
      <c r="AC92" s="5">
        <v>1.51521143366078E-2</v>
      </c>
      <c r="AD92" s="5">
        <v>-0.118582398550851</v>
      </c>
      <c r="AE92" s="5">
        <v>0.34246703674053303</v>
      </c>
      <c r="AF92" s="5">
        <v>0.118582398550851</v>
      </c>
      <c r="AG92" s="5">
        <v>-1.51521143366078E-2</v>
      </c>
      <c r="AH92" s="5">
        <v>-0.34246703674053303</v>
      </c>
    </row>
    <row r="93" spans="2:34" x14ac:dyDescent="0.2">
      <c r="B93" s="4">
        <v>2025</v>
      </c>
      <c r="C93" s="4">
        <v>11</v>
      </c>
      <c r="D93" s="4" t="s">
        <v>11</v>
      </c>
      <c r="E93" s="4" t="s">
        <v>47</v>
      </c>
      <c r="F93" s="4"/>
      <c r="G93" s="4"/>
      <c r="H93" s="8">
        <v>0.444595963088533</v>
      </c>
      <c r="I93" s="4">
        <v>124</v>
      </c>
      <c r="J93" s="8">
        <v>0.555404036911466</v>
      </c>
      <c r="K93" s="4">
        <v>-124</v>
      </c>
      <c r="L93" s="4" t="s">
        <v>47</v>
      </c>
      <c r="M93" s="4" t="s">
        <v>11</v>
      </c>
      <c r="N93" s="4">
        <v>0</v>
      </c>
      <c r="O93" s="9">
        <v>24.278904466257298</v>
      </c>
      <c r="P93" s="15">
        <v>25.478571757188501</v>
      </c>
      <c r="Q93" s="4">
        <v>2.5</v>
      </c>
      <c r="R93" s="9">
        <v>-1.19966729093128</v>
      </c>
      <c r="S93" s="4" t="s">
        <v>138</v>
      </c>
      <c r="T93" s="4">
        <v>7</v>
      </c>
      <c r="U93" s="4" t="s">
        <v>139</v>
      </c>
      <c r="V93" s="4">
        <v>0</v>
      </c>
      <c r="W93" s="4">
        <v>46.5</v>
      </c>
      <c r="X93" s="9">
        <v>49.757476223445799</v>
      </c>
      <c r="Y93" s="4" t="s">
        <v>140</v>
      </c>
      <c r="Z93" s="4">
        <v>25</v>
      </c>
      <c r="AA93" s="4" t="s">
        <v>141</v>
      </c>
      <c r="AB93" s="4">
        <v>0</v>
      </c>
      <c r="AC93" s="5">
        <v>-0.19118155895824099</v>
      </c>
      <c r="AD93" s="5">
        <v>0.40076452998791701</v>
      </c>
      <c r="AE93" s="5">
        <v>2.6905689239501901E-2</v>
      </c>
      <c r="AF93" s="5">
        <v>-0.40076452998791701</v>
      </c>
      <c r="AG93" s="5">
        <v>0.19118155895824099</v>
      </c>
      <c r="AH93" s="5">
        <v>-2.6905689239501901E-2</v>
      </c>
    </row>
    <row r="94" spans="2:34" x14ac:dyDescent="0.2">
      <c r="B94" s="4">
        <v>2025</v>
      </c>
      <c r="C94" s="4">
        <v>11</v>
      </c>
      <c r="D94" s="4" t="s">
        <v>37</v>
      </c>
      <c r="E94" s="4" t="s">
        <v>20</v>
      </c>
      <c r="F94" s="4"/>
      <c r="G94" s="4"/>
      <c r="H94" s="8">
        <v>0.33113715604525801</v>
      </c>
      <c r="I94" s="4">
        <v>201</v>
      </c>
      <c r="J94" s="8">
        <v>0.66886284395474105</v>
      </c>
      <c r="K94" s="4">
        <v>-201</v>
      </c>
      <c r="L94" s="4" t="s">
        <v>20</v>
      </c>
      <c r="M94" s="4" t="s">
        <v>20</v>
      </c>
      <c r="N94" s="4">
        <v>1</v>
      </c>
      <c r="O94" s="15">
        <v>20.948298363695201</v>
      </c>
      <c r="P94" s="15">
        <v>24.5161461669739</v>
      </c>
      <c r="Q94" s="4">
        <v>-3.5</v>
      </c>
      <c r="R94" s="9">
        <v>-3.5678478032787502</v>
      </c>
      <c r="S94" s="4" t="s">
        <v>138</v>
      </c>
      <c r="T94" s="4">
        <v>-17</v>
      </c>
      <c r="U94" s="4" t="s">
        <v>138</v>
      </c>
      <c r="V94" s="4">
        <v>1</v>
      </c>
      <c r="W94" s="4">
        <v>48.5</v>
      </c>
      <c r="X94" s="9">
        <v>45.464444530669198</v>
      </c>
      <c r="Y94" s="4" t="s">
        <v>141</v>
      </c>
      <c r="Z94" s="4">
        <v>49</v>
      </c>
      <c r="AA94" s="4" t="s">
        <v>140</v>
      </c>
      <c r="AB94" s="4">
        <v>0</v>
      </c>
      <c r="AC94" s="5">
        <v>-0.198562298790883</v>
      </c>
      <c r="AD94" s="5">
        <v>-0.16860405091316399</v>
      </c>
      <c r="AE94" s="5">
        <v>-0.106098308563232</v>
      </c>
      <c r="AF94" s="5">
        <v>0.16860405091316399</v>
      </c>
      <c r="AG94" s="5">
        <v>0.198562298790883</v>
      </c>
      <c r="AH94" s="5">
        <v>0.106098308563232</v>
      </c>
    </row>
    <row r="95" spans="2:34" x14ac:dyDescent="0.2">
      <c r="B95" s="4">
        <v>2025</v>
      </c>
      <c r="C95" s="4">
        <v>12</v>
      </c>
      <c r="D95" s="4" t="s">
        <v>85</v>
      </c>
      <c r="E95" s="4" t="s">
        <v>50</v>
      </c>
      <c r="F95" s="4">
        <v>23</v>
      </c>
      <c r="G95" s="4">
        <v>19</v>
      </c>
      <c r="H95" s="8">
        <v>0.41641097241429398</v>
      </c>
      <c r="I95" s="4" t="s">
        <v>74</v>
      </c>
      <c r="J95" s="8">
        <v>0.58358902758570608</v>
      </c>
      <c r="K95" s="4" t="s">
        <v>153</v>
      </c>
      <c r="L95" s="4" t="s">
        <v>50</v>
      </c>
      <c r="M95" s="4" t="s">
        <v>85</v>
      </c>
      <c r="N95" s="4">
        <v>0</v>
      </c>
      <c r="O95" s="15">
        <v>22.31079559313196</v>
      </c>
      <c r="P95" s="15">
        <v>26.779230310021202</v>
      </c>
      <c r="Q95" s="4">
        <v>-5.5</v>
      </c>
      <c r="R95" s="15">
        <v>-4.4684347168892344</v>
      </c>
      <c r="S95" s="4" t="s">
        <v>139</v>
      </c>
      <c r="T95" s="4">
        <v>4</v>
      </c>
      <c r="U95" s="4" t="s">
        <v>139</v>
      </c>
      <c r="V95" s="4">
        <v>1</v>
      </c>
      <c r="W95" s="4">
        <v>43.5</v>
      </c>
      <c r="X95" s="9">
        <v>49.090025903153162</v>
      </c>
      <c r="Y95" s="4" t="s">
        <v>140</v>
      </c>
      <c r="Z95" s="4">
        <v>42</v>
      </c>
      <c r="AA95" s="4" t="s">
        <v>141</v>
      </c>
      <c r="AB95" s="4">
        <v>0</v>
      </c>
      <c r="AC95" s="5">
        <v>-7.726630671270962E-2</v>
      </c>
      <c r="AD95" s="5">
        <v>0.16421366471510671</v>
      </c>
      <c r="AE95" s="5">
        <v>-9.2399334085398702E-2</v>
      </c>
      <c r="AF95" s="5">
        <v>-0.16421366471510671</v>
      </c>
      <c r="AG95" s="5">
        <v>7.726630671270962E-2</v>
      </c>
      <c r="AH95" s="5">
        <v>9.2399334085398702E-2</v>
      </c>
    </row>
    <row r="96" spans="2:34" x14ac:dyDescent="0.2">
      <c r="B96" s="4">
        <v>2025</v>
      </c>
      <c r="C96" s="4">
        <v>12</v>
      </c>
      <c r="D96" s="4" t="s">
        <v>16</v>
      </c>
      <c r="E96" s="4" t="s">
        <v>13</v>
      </c>
      <c r="F96" s="4">
        <v>23</v>
      </c>
      <c r="G96" s="4">
        <v>10</v>
      </c>
      <c r="H96" s="8">
        <v>0.68542228297745511</v>
      </c>
      <c r="I96" s="4" t="s">
        <v>154</v>
      </c>
      <c r="J96" s="8">
        <v>0.31457771702254489</v>
      </c>
      <c r="K96" s="4" t="s">
        <v>155</v>
      </c>
      <c r="L96" s="4" t="s">
        <v>16</v>
      </c>
      <c r="M96" s="4" t="s">
        <v>16</v>
      </c>
      <c r="N96" s="4">
        <v>1</v>
      </c>
      <c r="O96" s="15">
        <v>25.833018406554871</v>
      </c>
      <c r="P96" s="15">
        <v>17.239147898473551</v>
      </c>
      <c r="Q96" s="4">
        <v>14</v>
      </c>
      <c r="R96" s="15">
        <v>8.5938705080813129</v>
      </c>
      <c r="S96" s="4" t="s">
        <v>138</v>
      </c>
      <c r="T96" s="4">
        <v>13</v>
      </c>
      <c r="U96" s="4" t="s">
        <v>138</v>
      </c>
      <c r="V96" s="4">
        <v>1</v>
      </c>
      <c r="W96" s="4">
        <v>44.5</v>
      </c>
      <c r="X96" s="9">
        <v>43.072166305028418</v>
      </c>
      <c r="Y96" s="4" t="s">
        <v>141</v>
      </c>
      <c r="Z96" s="4">
        <v>33</v>
      </c>
      <c r="AA96" s="4" t="s">
        <v>141</v>
      </c>
      <c r="AB96" s="4">
        <v>1</v>
      </c>
      <c r="AC96" s="5">
        <v>5.5789142358498488E-2</v>
      </c>
      <c r="AD96" s="5">
        <v>0.19996630135229079</v>
      </c>
      <c r="AE96" s="5">
        <v>-1.7604619264602661E-2</v>
      </c>
      <c r="AF96" s="5">
        <v>-0.19996630135229079</v>
      </c>
      <c r="AG96" s="5">
        <v>-5.5789142358498488E-2</v>
      </c>
      <c r="AH96" s="5">
        <v>1.7604619264602661E-2</v>
      </c>
    </row>
    <row r="97" spans="2:34" x14ac:dyDescent="0.2">
      <c r="B97" s="4">
        <v>2025</v>
      </c>
      <c r="C97" s="4">
        <v>12</v>
      </c>
      <c r="D97" s="4" t="s">
        <v>53</v>
      </c>
      <c r="E97" s="4" t="s">
        <v>34</v>
      </c>
      <c r="F97" s="4">
        <v>31</v>
      </c>
      <c r="G97" s="4">
        <v>28</v>
      </c>
      <c r="H97" s="8">
        <v>0.57957287824891268</v>
      </c>
      <c r="I97" s="4" t="s">
        <v>156</v>
      </c>
      <c r="J97" s="8">
        <v>0.42042712175108732</v>
      </c>
      <c r="K97" s="4" t="s">
        <v>157</v>
      </c>
      <c r="L97" s="4" t="s">
        <v>53</v>
      </c>
      <c r="M97" s="4" t="s">
        <v>53</v>
      </c>
      <c r="N97" s="4">
        <v>1</v>
      </c>
      <c r="O97" s="15">
        <v>25.38450478511956</v>
      </c>
      <c r="P97" s="15">
        <v>23.313586972975418</v>
      </c>
      <c r="Q97" s="4">
        <v>3</v>
      </c>
      <c r="R97" s="9">
        <v>2.0709178121441418</v>
      </c>
      <c r="S97" s="4" t="s">
        <v>138</v>
      </c>
      <c r="T97" s="4">
        <v>3</v>
      </c>
      <c r="U97" s="4" t="s">
        <v>138</v>
      </c>
      <c r="V97" s="4">
        <v>1</v>
      </c>
      <c r="W97" s="4">
        <v>46.5</v>
      </c>
      <c r="X97" s="9">
        <v>48.698091758094982</v>
      </c>
      <c r="Y97" s="4" t="s">
        <v>140</v>
      </c>
      <c r="Z97" s="4">
        <v>59</v>
      </c>
      <c r="AA97" s="4" t="s">
        <v>140</v>
      </c>
      <c r="AB97" s="4">
        <v>1</v>
      </c>
      <c r="AC97" s="5">
        <v>1.1751021657671249E-2</v>
      </c>
      <c r="AD97" s="5">
        <v>-4.8218843009736813E-2</v>
      </c>
      <c r="AE97" s="5">
        <v>0.1270280617934007</v>
      </c>
      <c r="AF97" s="5">
        <v>4.8218843009736813E-2</v>
      </c>
      <c r="AG97" s="5">
        <v>-1.1751021657671249E-2</v>
      </c>
      <c r="AH97" s="5">
        <v>-0.1270280617934007</v>
      </c>
    </row>
    <row r="98" spans="2:34" x14ac:dyDescent="0.2">
      <c r="B98" s="4">
        <v>2025</v>
      </c>
      <c r="C98" s="4">
        <v>12</v>
      </c>
      <c r="D98" s="4" t="s">
        <v>41</v>
      </c>
      <c r="E98" s="4" t="s">
        <v>32</v>
      </c>
      <c r="F98" s="4">
        <v>20</v>
      </c>
      <c r="G98" s="4">
        <v>26</v>
      </c>
      <c r="H98" s="8">
        <v>0.35067814057087943</v>
      </c>
      <c r="I98" s="4" t="s">
        <v>158</v>
      </c>
      <c r="J98" s="8">
        <v>0.64932185942912057</v>
      </c>
      <c r="K98" s="4" t="s">
        <v>159</v>
      </c>
      <c r="L98" s="4" t="s">
        <v>32</v>
      </c>
      <c r="M98" s="4" t="s">
        <v>32</v>
      </c>
      <c r="N98" s="4">
        <v>1</v>
      </c>
      <c r="O98" s="15">
        <v>23.468713934822361</v>
      </c>
      <c r="P98" s="15">
        <v>26.734600879836041</v>
      </c>
      <c r="Q98" s="4">
        <v>-7.5</v>
      </c>
      <c r="R98" s="9">
        <v>-3.2658869450136829</v>
      </c>
      <c r="S98" s="4" t="s">
        <v>139</v>
      </c>
      <c r="T98" s="4">
        <v>-6</v>
      </c>
      <c r="U98" s="4" t="s">
        <v>139</v>
      </c>
      <c r="V98" s="4">
        <v>1</v>
      </c>
      <c r="W98" s="4">
        <v>50.5</v>
      </c>
      <c r="X98" s="9">
        <v>50.203314814658398</v>
      </c>
      <c r="Y98" s="4" t="s">
        <v>141</v>
      </c>
      <c r="Z98" s="4">
        <v>46</v>
      </c>
      <c r="AA98" s="4" t="s">
        <v>141</v>
      </c>
      <c r="AB98" s="4">
        <v>1</v>
      </c>
      <c r="AC98" s="5">
        <v>-0.1750253192962162</v>
      </c>
      <c r="AD98" s="5">
        <v>-2.2934188161577499E-2</v>
      </c>
      <c r="AE98" s="5">
        <v>1.9687260900224959E-2</v>
      </c>
      <c r="AF98" s="5">
        <v>2.2934188161577499E-2</v>
      </c>
      <c r="AG98" s="5">
        <v>0.1750253192962162</v>
      </c>
      <c r="AH98" s="5">
        <v>-1.9687260900224959E-2</v>
      </c>
    </row>
    <row r="99" spans="2:34" x14ac:dyDescent="0.2">
      <c r="B99" s="4">
        <v>2025</v>
      </c>
      <c r="C99" s="4">
        <v>12</v>
      </c>
      <c r="D99" s="4" t="s">
        <v>47</v>
      </c>
      <c r="E99" s="4" t="s">
        <v>10</v>
      </c>
      <c r="F99" s="4">
        <v>34</v>
      </c>
      <c r="G99" s="4">
        <v>27</v>
      </c>
      <c r="H99" s="8">
        <v>0.70151946210143667</v>
      </c>
      <c r="I99" s="4" t="s">
        <v>160</v>
      </c>
      <c r="J99" s="8">
        <v>0.29848053789856333</v>
      </c>
      <c r="K99" s="4" t="s">
        <v>161</v>
      </c>
      <c r="L99" s="4" t="s">
        <v>47</v>
      </c>
      <c r="M99" s="4" t="s">
        <v>47</v>
      </c>
      <c r="N99" s="4">
        <v>1</v>
      </c>
      <c r="O99" s="15">
        <v>29.019062174586939</v>
      </c>
      <c r="P99" s="15">
        <v>20.794064457531359</v>
      </c>
      <c r="Q99" s="4">
        <v>14</v>
      </c>
      <c r="R99" s="9">
        <v>8.224997717055583</v>
      </c>
      <c r="S99" s="4" t="s">
        <v>138</v>
      </c>
      <c r="T99" s="4">
        <v>7</v>
      </c>
      <c r="U99" s="4" t="s">
        <v>138</v>
      </c>
      <c r="V99" s="4">
        <v>1</v>
      </c>
      <c r="W99" s="4">
        <v>50.5</v>
      </c>
      <c r="X99" s="9">
        <v>49.813126632118298</v>
      </c>
      <c r="Y99" s="4" t="s">
        <v>141</v>
      </c>
      <c r="Z99" s="4">
        <v>61</v>
      </c>
      <c r="AA99" s="4" t="s">
        <v>140</v>
      </c>
      <c r="AB99" s="4">
        <v>0</v>
      </c>
      <c r="AC99" s="5">
        <v>0.1546184482859142</v>
      </c>
      <c r="AD99" s="5">
        <v>-0.14523477907533999</v>
      </c>
      <c r="AE99" s="5">
        <v>0.13269214145839209</v>
      </c>
      <c r="AF99" s="5">
        <v>0.14523477907533999</v>
      </c>
      <c r="AG99" s="5">
        <v>-0.1546184482859142</v>
      </c>
      <c r="AH99" s="5">
        <v>-0.13269214145839209</v>
      </c>
    </row>
    <row r="100" spans="2:34" x14ac:dyDescent="0.2">
      <c r="B100" s="4">
        <v>2025</v>
      </c>
      <c r="C100" s="4">
        <v>12</v>
      </c>
      <c r="D100" s="4" t="s">
        <v>40</v>
      </c>
      <c r="E100" s="4" t="s">
        <v>77</v>
      </c>
      <c r="F100" s="4">
        <v>23</v>
      </c>
      <c r="G100" s="4">
        <v>6</v>
      </c>
      <c r="H100" s="8">
        <v>0.67902861180136675</v>
      </c>
      <c r="I100" s="4" t="s">
        <v>162</v>
      </c>
      <c r="J100" s="8">
        <v>0.32097138819863319</v>
      </c>
      <c r="K100" s="4" t="s">
        <v>163</v>
      </c>
      <c r="L100" s="4" t="s">
        <v>40</v>
      </c>
      <c r="M100" s="4" t="s">
        <v>40</v>
      </c>
      <c r="N100" s="4">
        <v>1</v>
      </c>
      <c r="O100" s="15">
        <v>23.214138633730428</v>
      </c>
      <c r="P100" s="15">
        <v>20.32264136590106</v>
      </c>
      <c r="Q100" s="4">
        <v>6.5</v>
      </c>
      <c r="R100" s="15">
        <v>2.8914972678293722</v>
      </c>
      <c r="S100" s="4" t="s">
        <v>138</v>
      </c>
      <c r="T100" s="4">
        <v>17</v>
      </c>
      <c r="U100" s="4" t="s">
        <v>139</v>
      </c>
      <c r="V100" s="4">
        <v>0</v>
      </c>
      <c r="W100" s="4">
        <v>41.5</v>
      </c>
      <c r="X100" s="9">
        <v>43.536779999631477</v>
      </c>
      <c r="Y100" s="4" t="s">
        <v>140</v>
      </c>
      <c r="Z100" s="4">
        <v>29</v>
      </c>
      <c r="AA100" s="4" t="s">
        <v>141</v>
      </c>
      <c r="AB100" s="4">
        <v>0</v>
      </c>
      <c r="AC100" s="5">
        <v>5.5030323565006263E-2</v>
      </c>
      <c r="AD100" s="5">
        <v>0.42938007007945672</v>
      </c>
      <c r="AE100" s="5">
        <v>4.9084961414337158E-2</v>
      </c>
      <c r="AF100" s="5">
        <v>-0.42938007007945672</v>
      </c>
      <c r="AG100" s="5">
        <v>-5.5030323565006263E-2</v>
      </c>
      <c r="AH100" s="5">
        <v>-4.9084961414337158E-2</v>
      </c>
    </row>
    <row r="101" spans="2:34" x14ac:dyDescent="0.2">
      <c r="B101" s="4">
        <v>2025</v>
      </c>
      <c r="C101" s="4">
        <v>12</v>
      </c>
      <c r="D101" s="4" t="s">
        <v>46</v>
      </c>
      <c r="E101" s="4" t="s">
        <v>22</v>
      </c>
      <c r="F101" s="4">
        <v>23</v>
      </c>
      <c r="G101" s="4">
        <v>20</v>
      </c>
      <c r="H101" s="8">
        <v>0.48672608881341473</v>
      </c>
      <c r="I101" s="4" t="s">
        <v>164</v>
      </c>
      <c r="J101" s="8">
        <v>0.51327391118658527</v>
      </c>
      <c r="K101" s="4" t="s">
        <v>165</v>
      </c>
      <c r="L101" s="4" t="s">
        <v>22</v>
      </c>
      <c r="M101" s="4" t="s">
        <v>46</v>
      </c>
      <c r="N101" s="4">
        <v>0</v>
      </c>
      <c r="O101" s="15">
        <v>23.3949538756621</v>
      </c>
      <c r="P101" s="15">
        <v>25.226612525508141</v>
      </c>
      <c r="Q101" s="4">
        <v>3.5</v>
      </c>
      <c r="R101" s="9">
        <v>-1.831658649846041</v>
      </c>
      <c r="S101" s="4" t="s">
        <v>138</v>
      </c>
      <c r="T101" s="4">
        <v>3</v>
      </c>
      <c r="U101" s="4" t="s">
        <v>138</v>
      </c>
      <c r="V101" s="4">
        <v>1</v>
      </c>
      <c r="W101" s="4">
        <v>50.5</v>
      </c>
      <c r="X101" s="9">
        <v>48.621566401170227</v>
      </c>
      <c r="Y101" s="4" t="s">
        <v>141</v>
      </c>
      <c r="Z101" s="4">
        <v>43</v>
      </c>
      <c r="AA101" s="4" t="s">
        <v>141</v>
      </c>
      <c r="AB101" s="4">
        <v>1</v>
      </c>
      <c r="AC101" s="5">
        <v>2.05093735142758E-2</v>
      </c>
      <c r="AD101" s="5">
        <v>1.8942167758941648E-2</v>
      </c>
      <c r="AE101" s="5">
        <v>-0.1278300662835439</v>
      </c>
      <c r="AF101" s="5">
        <v>-1.8942167758941648E-2</v>
      </c>
      <c r="AG101" s="5">
        <v>-2.05093735142758E-2</v>
      </c>
      <c r="AH101" s="5">
        <v>0.1278300662835439</v>
      </c>
    </row>
    <row r="102" spans="2:34" x14ac:dyDescent="0.2">
      <c r="B102" s="4">
        <v>2025</v>
      </c>
      <c r="C102" s="4">
        <v>12</v>
      </c>
      <c r="D102" s="4" t="s">
        <v>38</v>
      </c>
      <c r="E102" s="4" t="s">
        <v>26</v>
      </c>
      <c r="F102" s="4">
        <v>24</v>
      </c>
      <c r="G102" s="4">
        <v>30</v>
      </c>
      <c r="H102" s="8">
        <v>0.23620151991148361</v>
      </c>
      <c r="I102" s="4" t="s">
        <v>166</v>
      </c>
      <c r="J102" s="8">
        <v>0.76379848008851636</v>
      </c>
      <c r="K102" s="4" t="s">
        <v>167</v>
      </c>
      <c r="L102" s="4" t="s">
        <v>26</v>
      </c>
      <c r="M102" s="4" t="s">
        <v>26</v>
      </c>
      <c r="N102" s="4">
        <v>1</v>
      </c>
      <c r="O102" s="15">
        <v>17.81064543579226</v>
      </c>
      <c r="P102" s="15">
        <v>26.00382774985626</v>
      </c>
      <c r="Q102" s="4">
        <v>-12.5</v>
      </c>
      <c r="R102" s="15">
        <v>-8.1931823140639999</v>
      </c>
      <c r="S102" s="4" t="s">
        <v>139</v>
      </c>
      <c r="T102" s="4">
        <v>-6</v>
      </c>
      <c r="U102" s="4" t="s">
        <v>139</v>
      </c>
      <c r="V102" s="4">
        <v>1</v>
      </c>
      <c r="W102" s="4">
        <v>41.5</v>
      </c>
      <c r="X102" s="9">
        <v>43.814473185648517</v>
      </c>
      <c r="Y102" s="4" t="s">
        <v>140</v>
      </c>
      <c r="Z102" s="4">
        <v>54</v>
      </c>
      <c r="AA102" s="4" t="s">
        <v>140</v>
      </c>
      <c r="AB102" s="4">
        <v>1</v>
      </c>
      <c r="AC102" s="5">
        <v>-9.621105194091796E-3</v>
      </c>
      <c r="AD102" s="5">
        <v>-0.27772254132209939</v>
      </c>
      <c r="AE102" s="5">
        <v>3.3118220476003803E-2</v>
      </c>
      <c r="AF102" s="5">
        <v>0.27772254132209939</v>
      </c>
      <c r="AG102" s="5">
        <v>9.621105194091796E-3</v>
      </c>
      <c r="AH102" s="5">
        <v>-3.3118220476003803E-2</v>
      </c>
    </row>
    <row r="103" spans="2:34" x14ac:dyDescent="0.2">
      <c r="B103" s="4">
        <v>2025</v>
      </c>
      <c r="C103" s="4">
        <v>12</v>
      </c>
      <c r="D103" s="4" t="s">
        <v>23</v>
      </c>
      <c r="E103" s="4" t="s">
        <v>25</v>
      </c>
      <c r="F103" s="4">
        <v>24</v>
      </c>
      <c r="G103" s="4">
        <v>27</v>
      </c>
      <c r="H103" s="8">
        <v>0.46416165615646637</v>
      </c>
      <c r="I103" s="4" t="s">
        <v>168</v>
      </c>
      <c r="J103" s="8">
        <v>0.53583834384353368</v>
      </c>
      <c r="K103" s="4" t="s">
        <v>169</v>
      </c>
      <c r="L103" s="4" t="s">
        <v>25</v>
      </c>
      <c r="M103" s="4" t="s">
        <v>25</v>
      </c>
      <c r="N103" s="4">
        <v>1</v>
      </c>
      <c r="O103" s="15">
        <v>22.314163617631159</v>
      </c>
      <c r="P103" s="15">
        <v>23.350000397391529</v>
      </c>
      <c r="Q103" s="4">
        <v>-2.5</v>
      </c>
      <c r="R103" s="9">
        <v>-1.035836779760366</v>
      </c>
      <c r="S103" s="4" t="s">
        <v>139</v>
      </c>
      <c r="T103" s="4">
        <v>-3</v>
      </c>
      <c r="U103" s="4" t="s">
        <v>138</v>
      </c>
      <c r="V103" s="4">
        <v>0</v>
      </c>
      <c r="W103" s="4">
        <v>47.5</v>
      </c>
      <c r="X103" s="9">
        <v>45.664164015022678</v>
      </c>
      <c r="Y103" s="4" t="s">
        <v>141</v>
      </c>
      <c r="Z103" s="4">
        <v>51</v>
      </c>
      <c r="AA103" s="4" t="s">
        <v>140</v>
      </c>
      <c r="AB103" s="4">
        <v>0</v>
      </c>
      <c r="AC103" s="5">
        <v>-0.13217131296793619</v>
      </c>
      <c r="AD103" s="5">
        <v>0.17871148469018161</v>
      </c>
      <c r="AE103" s="5">
        <v>-0.2365132490793864</v>
      </c>
      <c r="AF103" s="5">
        <v>-0.17871148469018161</v>
      </c>
      <c r="AG103" s="5">
        <v>0.13217131296793619</v>
      </c>
      <c r="AH103" s="5">
        <v>0.2365132490793864</v>
      </c>
    </row>
    <row r="104" spans="2:34" x14ac:dyDescent="0.2">
      <c r="B104" s="4">
        <v>2025</v>
      </c>
      <c r="C104" s="4">
        <v>12</v>
      </c>
      <c r="D104" s="4" t="s">
        <v>37</v>
      </c>
      <c r="E104" s="4" t="s">
        <v>35</v>
      </c>
      <c r="F104" s="4">
        <v>10</v>
      </c>
      <c r="G104" s="4">
        <v>24</v>
      </c>
      <c r="H104" s="8">
        <v>0.51782157902187065</v>
      </c>
      <c r="I104" s="4" t="s">
        <v>170</v>
      </c>
      <c r="J104" s="8">
        <v>0.48217842097812941</v>
      </c>
      <c r="K104" s="4" t="s">
        <v>72</v>
      </c>
      <c r="L104" s="4" t="s">
        <v>37</v>
      </c>
      <c r="M104" s="4" t="s">
        <v>35</v>
      </c>
      <c r="N104" s="4">
        <v>0</v>
      </c>
      <c r="O104" s="15">
        <v>20.171214739413401</v>
      </c>
      <c r="P104" s="15">
        <v>16.87910689786203</v>
      </c>
      <c r="Q104" s="4">
        <v>3</v>
      </c>
      <c r="R104" s="9">
        <v>3.29210784155137</v>
      </c>
      <c r="S104" s="4" t="s">
        <v>139</v>
      </c>
      <c r="T104" s="4">
        <v>-14</v>
      </c>
      <c r="U104" s="4" t="s">
        <v>138</v>
      </c>
      <c r="V104" s="4">
        <v>0</v>
      </c>
      <c r="W104" s="4">
        <v>35.5</v>
      </c>
      <c r="X104" s="9">
        <v>37.050321637275438</v>
      </c>
      <c r="Y104" s="4" t="s">
        <v>140</v>
      </c>
      <c r="Z104" s="4">
        <v>34</v>
      </c>
      <c r="AA104" s="4" t="s">
        <v>141</v>
      </c>
      <c r="AB104" s="4">
        <v>0</v>
      </c>
      <c r="AC104" s="5">
        <v>-0.33489239366748658</v>
      </c>
      <c r="AD104" s="5">
        <v>0.2222873687744141</v>
      </c>
      <c r="AE104" s="5">
        <v>-9.0066809808054274E-2</v>
      </c>
      <c r="AF104" s="5">
        <v>-0.2222873687744141</v>
      </c>
      <c r="AG104" s="5">
        <v>0.33489239366748658</v>
      </c>
      <c r="AH104" s="5">
        <v>9.0066809808054274E-2</v>
      </c>
    </row>
    <row r="105" spans="2:34" x14ac:dyDescent="0.2">
      <c r="B105" s="4">
        <v>2025</v>
      </c>
      <c r="C105" s="4">
        <v>12</v>
      </c>
      <c r="D105" s="4" t="s">
        <v>20</v>
      </c>
      <c r="E105" s="4" t="s">
        <v>11</v>
      </c>
      <c r="F105" s="4">
        <v>24</v>
      </c>
      <c r="G105" s="4">
        <v>21</v>
      </c>
      <c r="H105" s="8">
        <v>0.47087485194681949</v>
      </c>
      <c r="I105" s="4" t="s">
        <v>73</v>
      </c>
      <c r="J105" s="8">
        <v>0.52912514805318045</v>
      </c>
      <c r="K105" s="4" t="s">
        <v>171</v>
      </c>
      <c r="L105" s="4" t="s">
        <v>11</v>
      </c>
      <c r="M105" s="4" t="s">
        <v>20</v>
      </c>
      <c r="N105" s="4">
        <v>0</v>
      </c>
      <c r="O105" s="15">
        <v>22.441662686760129</v>
      </c>
      <c r="P105" s="15">
        <v>25.69663166288635</v>
      </c>
      <c r="Q105" s="4">
        <v>-3</v>
      </c>
      <c r="R105" s="15">
        <v>-3.2549689761262139</v>
      </c>
      <c r="S105" s="4" t="s">
        <v>138</v>
      </c>
      <c r="T105" s="4">
        <v>3</v>
      </c>
      <c r="U105" s="4" t="s">
        <v>139</v>
      </c>
      <c r="V105" s="4">
        <v>0</v>
      </c>
      <c r="W105" s="4">
        <v>47.5</v>
      </c>
      <c r="X105" s="9">
        <v>48.138294349646479</v>
      </c>
      <c r="Y105" s="4" t="s">
        <v>140</v>
      </c>
      <c r="Z105" s="4">
        <v>45</v>
      </c>
      <c r="AA105" s="4" t="s">
        <v>141</v>
      </c>
      <c r="AB105" s="4">
        <v>0</v>
      </c>
      <c r="AC105" s="5">
        <v>-2.401653645743786E-2</v>
      </c>
      <c r="AD105" s="5">
        <v>-3.168772137354291E-3</v>
      </c>
      <c r="AE105" s="5">
        <v>0.25749625921249392</v>
      </c>
      <c r="AF105" s="5">
        <v>3.168772137354291E-3</v>
      </c>
      <c r="AG105" s="5">
        <v>2.401653645743786E-2</v>
      </c>
      <c r="AH105" s="5">
        <v>-0.25749625921249392</v>
      </c>
    </row>
    <row r="106" spans="2:34" x14ac:dyDescent="0.2">
      <c r="B106" s="4">
        <v>2025</v>
      </c>
      <c r="C106" s="4">
        <v>12</v>
      </c>
      <c r="D106" s="4" t="s">
        <v>31</v>
      </c>
      <c r="E106" s="4" t="s">
        <v>49</v>
      </c>
      <c r="F106" s="4">
        <v>10</v>
      </c>
      <c r="G106" s="4">
        <v>24</v>
      </c>
      <c r="H106" s="8">
        <v>0.33749899154583213</v>
      </c>
      <c r="I106" s="4" t="s">
        <v>75</v>
      </c>
      <c r="J106" s="8">
        <v>0.66250100845416782</v>
      </c>
      <c r="K106" s="4" t="s">
        <v>172</v>
      </c>
      <c r="L106" s="4" t="s">
        <v>49</v>
      </c>
      <c r="M106" s="4" t="s">
        <v>49</v>
      </c>
      <c r="N106" s="4">
        <v>1</v>
      </c>
      <c r="O106" s="15">
        <v>17.703989718998571</v>
      </c>
      <c r="P106" s="15">
        <v>22.578308162078621</v>
      </c>
      <c r="Q106" s="4">
        <v>1.5</v>
      </c>
      <c r="R106" s="9">
        <v>-4.8743184430800532</v>
      </c>
      <c r="S106" s="4" t="s">
        <v>138</v>
      </c>
      <c r="T106" s="4">
        <v>-14</v>
      </c>
      <c r="U106" s="4" t="s">
        <v>138</v>
      </c>
      <c r="V106" s="4">
        <v>1</v>
      </c>
      <c r="W106" s="4">
        <v>41.5</v>
      </c>
      <c r="X106" s="9">
        <v>40.282297881077177</v>
      </c>
      <c r="Y106" s="4" t="s">
        <v>141</v>
      </c>
      <c r="Z106" s="4">
        <v>34</v>
      </c>
      <c r="AA106" s="4" t="s">
        <v>141</v>
      </c>
      <c r="AB106" s="4">
        <v>1</v>
      </c>
      <c r="AC106" s="5">
        <v>-0.23330636024475099</v>
      </c>
      <c r="AD106" s="5">
        <v>0.13419797285547799</v>
      </c>
      <c r="AE106" s="5">
        <v>-0.3328391456604004</v>
      </c>
      <c r="AF106" s="5">
        <v>-0.13419797285547799</v>
      </c>
      <c r="AG106" s="5">
        <v>0.23330636024475099</v>
      </c>
      <c r="AH106" s="5">
        <v>0.3328391456604004</v>
      </c>
    </row>
    <row r="107" spans="2:34" x14ac:dyDescent="0.2">
      <c r="B107" s="4">
        <v>2025</v>
      </c>
      <c r="C107" s="4">
        <v>12</v>
      </c>
      <c r="D107" s="4" t="s">
        <v>17</v>
      </c>
      <c r="E107" s="4" t="s">
        <v>43</v>
      </c>
      <c r="F107" s="4">
        <v>34</v>
      </c>
      <c r="G107" s="4">
        <v>7</v>
      </c>
      <c r="H107" s="8">
        <v>0.60571599318850144</v>
      </c>
      <c r="I107" s="4" t="s">
        <v>173</v>
      </c>
      <c r="J107" s="8">
        <v>0.39428400681149861</v>
      </c>
      <c r="K107" s="4" t="s">
        <v>33</v>
      </c>
      <c r="L107" s="4" t="s">
        <v>17</v>
      </c>
      <c r="M107" s="4" t="s">
        <v>17</v>
      </c>
      <c r="N107" s="4">
        <v>1</v>
      </c>
      <c r="O107" s="15">
        <v>24.899716854461079</v>
      </c>
      <c r="P107" s="15">
        <v>21.524890369124272</v>
      </c>
      <c r="Q107" s="4">
        <v>7</v>
      </c>
      <c r="R107" s="9">
        <v>3.3748264853368082</v>
      </c>
      <c r="S107" s="4" t="s">
        <v>138</v>
      </c>
      <c r="T107" s="4">
        <v>27</v>
      </c>
      <c r="U107" s="4" t="s">
        <v>139</v>
      </c>
      <c r="V107" s="4">
        <v>0</v>
      </c>
      <c r="W107" s="4">
        <v>49.5</v>
      </c>
      <c r="X107" s="9">
        <v>46.42460722358534</v>
      </c>
      <c r="Y107" s="4" t="s">
        <v>141</v>
      </c>
      <c r="Z107" s="4">
        <v>41</v>
      </c>
      <c r="AA107" s="4" t="s">
        <v>141</v>
      </c>
      <c r="AB107" s="4">
        <v>1</v>
      </c>
      <c r="AC107" s="5">
        <v>7.6005033084324422E-2</v>
      </c>
      <c r="AD107" s="5">
        <v>0.3951852798461914</v>
      </c>
      <c r="AE107" s="5">
        <v>5.4073310416677733E-2</v>
      </c>
      <c r="AF107" s="5">
        <v>-0.3951852798461914</v>
      </c>
      <c r="AG107" s="5">
        <v>-7.6005033084324422E-2</v>
      </c>
      <c r="AH107" s="5">
        <v>-5.4073310416677733E-2</v>
      </c>
    </row>
    <row r="108" spans="2:34" x14ac:dyDescent="0.2">
      <c r="B108" s="4">
        <v>2025</v>
      </c>
      <c r="C108" s="4">
        <v>12</v>
      </c>
      <c r="D108" s="4" t="s">
        <v>44</v>
      </c>
      <c r="E108" s="4" t="s">
        <v>19</v>
      </c>
      <c r="F108" s="4">
        <v>20</v>
      </c>
      <c r="G108" s="4">
        <v>9</v>
      </c>
      <c r="H108" s="8">
        <v>0.66176738641632282</v>
      </c>
      <c r="I108" s="4" t="s">
        <v>174</v>
      </c>
      <c r="J108" s="8">
        <v>0.33823261358367718</v>
      </c>
      <c r="K108" s="4" t="s">
        <v>175</v>
      </c>
      <c r="L108" s="4" t="s">
        <v>44</v>
      </c>
      <c r="M108" s="4" t="s">
        <v>44</v>
      </c>
      <c r="N108" s="4">
        <v>1</v>
      </c>
      <c r="O108" s="9">
        <v>29.439875839968931</v>
      </c>
      <c r="P108" s="15">
        <v>23.536852993215781</v>
      </c>
      <c r="Q108" s="4">
        <v>7.5</v>
      </c>
      <c r="R108" s="9">
        <v>5.9030228467531494</v>
      </c>
      <c r="S108" s="4" t="s">
        <v>138</v>
      </c>
      <c r="T108" s="4">
        <v>11</v>
      </c>
      <c r="U108" s="4" t="s">
        <v>139</v>
      </c>
      <c r="V108" s="4">
        <v>0</v>
      </c>
      <c r="W108" s="4">
        <v>48.5</v>
      </c>
      <c r="X108" s="9">
        <v>52.976728833184723</v>
      </c>
      <c r="Y108" s="4" t="s">
        <v>140</v>
      </c>
      <c r="Z108" s="4">
        <v>29</v>
      </c>
      <c r="AA108" s="4" t="s">
        <v>141</v>
      </c>
      <c r="AB108" s="4">
        <v>0</v>
      </c>
      <c r="AC108" s="5">
        <v>-1.347871387706083E-3</v>
      </c>
      <c r="AD108" s="5">
        <v>0.2190125783284505</v>
      </c>
      <c r="AE108" s="5">
        <v>0.20380350521632601</v>
      </c>
      <c r="AF108" s="5">
        <v>-0.2190125783284505</v>
      </c>
      <c r="AG108" s="5">
        <v>1.347871387706083E-3</v>
      </c>
      <c r="AH108" s="5">
        <v>-0.20380350521632601</v>
      </c>
    </row>
    <row r="109" spans="2:34" x14ac:dyDescent="0.2">
      <c r="B109" s="4">
        <v>2025</v>
      </c>
      <c r="C109" s="4">
        <v>13</v>
      </c>
      <c r="D109" s="4" t="s">
        <v>47</v>
      </c>
      <c r="E109" s="4" t="s">
        <v>40</v>
      </c>
      <c r="F109" s="4">
        <v>24</v>
      </c>
      <c r="G109" s="4">
        <v>31</v>
      </c>
      <c r="H109" s="8">
        <v>0.48253295193992413</v>
      </c>
      <c r="I109" s="4" t="s">
        <v>72</v>
      </c>
      <c r="J109" s="8">
        <v>0.51746704806007582</v>
      </c>
      <c r="K109" s="4" t="s">
        <v>170</v>
      </c>
      <c r="L109" s="4" t="s">
        <v>40</v>
      </c>
      <c r="M109" s="4" t="s">
        <v>40</v>
      </c>
      <c r="N109" s="4">
        <v>1</v>
      </c>
      <c r="O109" s="15">
        <v>25.529233570599331</v>
      </c>
      <c r="P109" s="15">
        <v>25.607126002885931</v>
      </c>
      <c r="Q109" s="4">
        <v>2.5</v>
      </c>
      <c r="R109" s="15">
        <v>-7.7892432286603253E-2</v>
      </c>
      <c r="S109" s="4" t="s">
        <v>138</v>
      </c>
      <c r="T109" s="4">
        <v>-7</v>
      </c>
      <c r="U109" s="4" t="s">
        <v>138</v>
      </c>
      <c r="V109" s="4">
        <v>1</v>
      </c>
      <c r="W109" s="4">
        <v>48.5</v>
      </c>
      <c r="X109" s="9">
        <v>51.136359573485272</v>
      </c>
      <c r="Y109" s="4" t="s">
        <v>140</v>
      </c>
      <c r="Z109" s="4">
        <v>55</v>
      </c>
      <c r="AA109" s="4" t="s">
        <v>140</v>
      </c>
      <c r="AB109" s="4">
        <v>1</v>
      </c>
      <c r="AC109" s="5">
        <v>4.8194105662996797E-2</v>
      </c>
      <c r="AD109" s="5">
        <v>-0.31817717471365198</v>
      </c>
      <c r="AE109" s="5">
        <v>5.2845547596613557E-2</v>
      </c>
      <c r="AF109" s="5">
        <v>0.31817717471365198</v>
      </c>
      <c r="AG109" s="5">
        <v>-4.8194105662996797E-2</v>
      </c>
      <c r="AH109" s="5">
        <v>-5.2845547596613557E-2</v>
      </c>
    </row>
    <row r="110" spans="2:34" x14ac:dyDescent="0.2">
      <c r="B110" s="4">
        <v>2025</v>
      </c>
      <c r="C110" s="4">
        <v>13</v>
      </c>
      <c r="D110" s="4" t="s">
        <v>20</v>
      </c>
      <c r="E110" s="4" t="s">
        <v>46</v>
      </c>
      <c r="F110" s="4">
        <v>31</v>
      </c>
      <c r="G110" s="4">
        <v>28</v>
      </c>
      <c r="H110" s="8">
        <v>0.46143532478045052</v>
      </c>
      <c r="I110" s="4" t="s">
        <v>18</v>
      </c>
      <c r="J110" s="8">
        <v>0.53856467521954954</v>
      </c>
      <c r="K110" s="4" t="s">
        <v>176</v>
      </c>
      <c r="L110" s="4" t="s">
        <v>46</v>
      </c>
      <c r="M110" s="4" t="s">
        <v>20</v>
      </c>
      <c r="N110" s="4">
        <v>0</v>
      </c>
      <c r="O110" s="15">
        <v>23.335191684024949</v>
      </c>
      <c r="P110" s="15">
        <v>27.11730556268461</v>
      </c>
      <c r="Q110" s="4">
        <v>-3.5</v>
      </c>
      <c r="R110" s="15">
        <v>-3.7821138786596542</v>
      </c>
      <c r="S110" s="4" t="s">
        <v>138</v>
      </c>
      <c r="T110" s="4">
        <v>3</v>
      </c>
      <c r="U110" s="4" t="s">
        <v>139</v>
      </c>
      <c r="V110" s="4">
        <v>0</v>
      </c>
      <c r="W110" s="4">
        <v>53.5</v>
      </c>
      <c r="X110" s="9">
        <v>50.452497246709562</v>
      </c>
      <c r="Y110" s="4" t="s">
        <v>141</v>
      </c>
      <c r="Z110" s="4">
        <v>59</v>
      </c>
      <c r="AA110" s="4" t="s">
        <v>140</v>
      </c>
      <c r="AB110" s="4">
        <v>0</v>
      </c>
      <c r="AC110" s="5">
        <v>0.27415717857471411</v>
      </c>
      <c r="AD110" s="5">
        <v>-0.17532253265380859</v>
      </c>
      <c r="AE110" s="5">
        <v>-7.3952504566737586E-3</v>
      </c>
      <c r="AF110" s="5">
        <v>0.17532253265380859</v>
      </c>
      <c r="AG110" s="5">
        <v>-0.27415717857471411</v>
      </c>
      <c r="AH110" s="5">
        <v>7.3952504566737586E-3</v>
      </c>
    </row>
    <row r="111" spans="2:34" x14ac:dyDescent="0.2">
      <c r="B111" s="4">
        <v>2025</v>
      </c>
      <c r="C111" s="4">
        <v>13</v>
      </c>
      <c r="D111" s="4" t="s">
        <v>16</v>
      </c>
      <c r="E111" s="4" t="s">
        <v>41</v>
      </c>
      <c r="F111" s="4">
        <v>14</v>
      </c>
      <c r="G111" s="4">
        <v>32</v>
      </c>
      <c r="H111" s="8">
        <v>0.63629110319441307</v>
      </c>
      <c r="I111" s="4" t="s">
        <v>177</v>
      </c>
      <c r="J111" s="8">
        <v>0.36370889680558688</v>
      </c>
      <c r="K111" s="4" t="s">
        <v>178</v>
      </c>
      <c r="L111" s="4" t="s">
        <v>16</v>
      </c>
      <c r="M111" s="4" t="s">
        <v>41</v>
      </c>
      <c r="N111" s="4">
        <v>0</v>
      </c>
      <c r="O111" s="15">
        <v>25.27901628321883</v>
      </c>
      <c r="P111" s="15">
        <v>20.5041983289656</v>
      </c>
      <c r="Q111" s="4">
        <v>7</v>
      </c>
      <c r="R111" s="9">
        <v>4.774817954253237</v>
      </c>
      <c r="S111" s="4" t="s">
        <v>138</v>
      </c>
      <c r="T111" s="4">
        <v>-18</v>
      </c>
      <c r="U111" s="4" t="s">
        <v>138</v>
      </c>
      <c r="V111" s="4">
        <v>1</v>
      </c>
      <c r="W111" s="4">
        <v>52.5</v>
      </c>
      <c r="X111" s="9">
        <v>45.78321461218443</v>
      </c>
      <c r="Y111" s="4" t="s">
        <v>141</v>
      </c>
      <c r="Z111" s="4">
        <v>46</v>
      </c>
      <c r="AA111" s="4" t="s">
        <v>141</v>
      </c>
      <c r="AB111" s="4">
        <v>1</v>
      </c>
      <c r="AC111" s="5">
        <v>-0.33492178836111303</v>
      </c>
      <c r="AD111" s="5">
        <v>-1.9006772213671579E-2</v>
      </c>
      <c r="AE111" s="5">
        <v>-0.16997030929282861</v>
      </c>
      <c r="AF111" s="5">
        <v>1.9006772213671579E-2</v>
      </c>
      <c r="AG111" s="5">
        <v>0.33492178836111303</v>
      </c>
      <c r="AH111" s="5">
        <v>0.16997030929282861</v>
      </c>
    </row>
    <row r="112" spans="2:34" x14ac:dyDescent="0.2">
      <c r="B112" s="4">
        <v>2025</v>
      </c>
      <c r="C112" s="4">
        <v>13</v>
      </c>
      <c r="D112" s="4" t="s">
        <v>11</v>
      </c>
      <c r="E112" s="4" t="s">
        <v>53</v>
      </c>
      <c r="F112" s="4">
        <v>15</v>
      </c>
      <c r="G112" s="4">
        <v>24</v>
      </c>
      <c r="H112" s="8">
        <v>0.56753267068476598</v>
      </c>
      <c r="I112" s="4" t="s">
        <v>179</v>
      </c>
      <c r="J112" s="8">
        <v>0.43246732931523402</v>
      </c>
      <c r="K112" s="4" t="s">
        <v>180</v>
      </c>
      <c r="L112" s="4" t="s">
        <v>11</v>
      </c>
      <c r="M112" s="4" t="s">
        <v>53</v>
      </c>
      <c r="N112" s="4">
        <v>0</v>
      </c>
      <c r="O112" s="15">
        <v>24.962502032181931</v>
      </c>
      <c r="P112" s="15">
        <v>18.993511265401501</v>
      </c>
      <c r="Q112" s="4">
        <v>7</v>
      </c>
      <c r="R112" s="9">
        <v>5.9689907667804292</v>
      </c>
      <c r="S112" s="4" t="s">
        <v>138</v>
      </c>
      <c r="T112" s="4">
        <v>-9</v>
      </c>
      <c r="U112" s="4" t="s">
        <v>138</v>
      </c>
      <c r="V112" s="4">
        <v>1</v>
      </c>
      <c r="W112" s="4">
        <v>43.5</v>
      </c>
      <c r="X112" s="9">
        <v>43.956013297583432</v>
      </c>
      <c r="Y112" s="4" t="s">
        <v>140</v>
      </c>
      <c r="Z112" s="4">
        <v>39</v>
      </c>
      <c r="AA112" s="4" t="s">
        <v>141</v>
      </c>
      <c r="AB112" s="4">
        <v>0</v>
      </c>
      <c r="AC112" s="5">
        <v>-3.8964977451399263E-2</v>
      </c>
      <c r="AD112" s="5">
        <v>-4.2160286459811902E-2</v>
      </c>
      <c r="AE112" s="5">
        <v>-0.1730813407897949</v>
      </c>
      <c r="AF112" s="5">
        <v>4.2160286459811902E-2</v>
      </c>
      <c r="AG112" s="5">
        <v>3.8964977451399263E-2</v>
      </c>
      <c r="AH112" s="5">
        <v>0.1730813407897949</v>
      </c>
    </row>
    <row r="113" spans="2:34" x14ac:dyDescent="0.2">
      <c r="B113" s="4">
        <v>2025</v>
      </c>
      <c r="C113" s="4">
        <v>13</v>
      </c>
      <c r="D113" s="4" t="s">
        <v>19</v>
      </c>
      <c r="E113" s="4" t="s">
        <v>17</v>
      </c>
      <c r="F113" s="4">
        <v>31</v>
      </c>
      <c r="G113" s="4">
        <v>28</v>
      </c>
      <c r="H113" s="8">
        <v>0.28542976443971663</v>
      </c>
      <c r="I113" s="4" t="s">
        <v>181</v>
      </c>
      <c r="J113" s="8">
        <v>0.71457023556028343</v>
      </c>
      <c r="K113" s="4" t="s">
        <v>182</v>
      </c>
      <c r="L113" s="4" t="s">
        <v>17</v>
      </c>
      <c r="M113" s="4" t="s">
        <v>19</v>
      </c>
      <c r="N113" s="4">
        <v>0</v>
      </c>
      <c r="O113" s="15">
        <v>21.008246054848851</v>
      </c>
      <c r="P113" s="15">
        <v>27.144541748462359</v>
      </c>
      <c r="Q113" s="4">
        <v>-10</v>
      </c>
      <c r="R113" s="9">
        <v>-6.1362956936135076</v>
      </c>
      <c r="S113" s="4" t="s">
        <v>139</v>
      </c>
      <c r="T113" s="4">
        <v>3</v>
      </c>
      <c r="U113" s="4" t="s">
        <v>139</v>
      </c>
      <c r="V113" s="4">
        <v>1</v>
      </c>
      <c r="W113" s="4">
        <v>44.5</v>
      </c>
      <c r="X113" s="9">
        <v>48.152787803311213</v>
      </c>
      <c r="Y113" s="4" t="s">
        <v>140</v>
      </c>
      <c r="Z113" s="4">
        <v>59</v>
      </c>
      <c r="AA113" s="4" t="s">
        <v>140</v>
      </c>
      <c r="AB113" s="4">
        <v>1</v>
      </c>
      <c r="AC113" s="5">
        <v>0.19092290909563911</v>
      </c>
      <c r="AD113" s="5">
        <v>-0.14862052132101619</v>
      </c>
      <c r="AE113" s="5">
        <v>-0.12567351758480069</v>
      </c>
      <c r="AF113" s="5">
        <v>0.14862052132101619</v>
      </c>
      <c r="AG113" s="5">
        <v>-0.19092290909563911</v>
      </c>
      <c r="AH113" s="5">
        <v>0.12567351758480069</v>
      </c>
    </row>
    <row r="114" spans="2:34" x14ac:dyDescent="0.2">
      <c r="B114" s="4">
        <v>2025</v>
      </c>
      <c r="C114" s="4">
        <v>13</v>
      </c>
      <c r="D114" s="4" t="s">
        <v>35</v>
      </c>
      <c r="E114" s="4" t="s">
        <v>44</v>
      </c>
      <c r="F114" s="4">
        <v>8</v>
      </c>
      <c r="G114" s="4">
        <v>26</v>
      </c>
      <c r="H114" s="8">
        <v>0.29341196841472611</v>
      </c>
      <c r="I114" s="4" t="s">
        <v>183</v>
      </c>
      <c r="J114" s="8">
        <v>0.70658803158527395</v>
      </c>
      <c r="K114" s="4" t="s">
        <v>184</v>
      </c>
      <c r="L114" s="4" t="s">
        <v>44</v>
      </c>
      <c r="M114" s="4" t="s">
        <v>44</v>
      </c>
      <c r="N114" s="4">
        <v>1</v>
      </c>
      <c r="O114" s="15">
        <v>19.126576732061579</v>
      </c>
      <c r="P114" s="15">
        <v>24.024825809834759</v>
      </c>
      <c r="Q114" s="4">
        <v>-5.5</v>
      </c>
      <c r="R114" s="15">
        <v>-4.8982490777731833</v>
      </c>
      <c r="S114" s="4" t="s">
        <v>139</v>
      </c>
      <c r="T114" s="4">
        <v>-18</v>
      </c>
      <c r="U114" s="4" t="s">
        <v>138</v>
      </c>
      <c r="V114" s="4">
        <v>0</v>
      </c>
      <c r="W114" s="4">
        <v>35.5</v>
      </c>
      <c r="X114" s="9">
        <v>43.151402541896353</v>
      </c>
      <c r="Y114" s="4" t="s">
        <v>140</v>
      </c>
      <c r="Z114" s="4">
        <v>34</v>
      </c>
      <c r="AA114" s="4" t="s">
        <v>141</v>
      </c>
      <c r="AB114" s="4">
        <v>0</v>
      </c>
      <c r="AC114" s="5">
        <v>-0.237057993488927</v>
      </c>
      <c r="AD114" s="5">
        <v>-2.5767023746783919E-2</v>
      </c>
      <c r="AE114" s="5">
        <v>-0.40003050457347522</v>
      </c>
      <c r="AF114" s="5">
        <v>2.5767023746783919E-2</v>
      </c>
      <c r="AG114" s="5">
        <v>0.237057993488927</v>
      </c>
      <c r="AH114" s="5">
        <v>0.40003050457347522</v>
      </c>
    </row>
    <row r="115" spans="2:34" x14ac:dyDescent="0.2">
      <c r="B115" s="4">
        <v>2025</v>
      </c>
      <c r="C115" s="4">
        <v>13</v>
      </c>
      <c r="D115" s="4" t="s">
        <v>22</v>
      </c>
      <c r="E115" s="4" t="s">
        <v>85</v>
      </c>
      <c r="F115" s="4">
        <v>16</v>
      </c>
      <c r="G115" s="4">
        <v>20</v>
      </c>
      <c r="H115" s="8">
        <v>0.64065800177892263</v>
      </c>
      <c r="I115" s="4" t="s">
        <v>185</v>
      </c>
      <c r="J115" s="8">
        <v>0.35934199822107737</v>
      </c>
      <c r="K115" s="4" t="s">
        <v>186</v>
      </c>
      <c r="L115" s="4" t="s">
        <v>22</v>
      </c>
      <c r="M115" s="4" t="s">
        <v>85</v>
      </c>
      <c r="N115" s="4">
        <v>0</v>
      </c>
      <c r="O115" s="15">
        <v>26.080700971734249</v>
      </c>
      <c r="P115" s="15">
        <v>21.40125468180058</v>
      </c>
      <c r="Q115" s="4">
        <v>3</v>
      </c>
      <c r="R115" s="9">
        <v>4.6794462899336624</v>
      </c>
      <c r="S115" s="4" t="s">
        <v>139</v>
      </c>
      <c r="T115" s="4">
        <v>-4</v>
      </c>
      <c r="U115" s="4" t="s">
        <v>138</v>
      </c>
      <c r="V115" s="4">
        <v>0</v>
      </c>
      <c r="W115" s="4">
        <v>44.5</v>
      </c>
      <c r="X115" s="9">
        <v>47.481955653534833</v>
      </c>
      <c r="Y115" s="4" t="s">
        <v>140</v>
      </c>
      <c r="Z115" s="4">
        <v>36</v>
      </c>
      <c r="AA115" s="4" t="s">
        <v>141</v>
      </c>
      <c r="AB115" s="4">
        <v>0</v>
      </c>
      <c r="AC115" s="5">
        <v>-3.4005244572957359E-2</v>
      </c>
      <c r="AD115" s="5">
        <v>-3.0582845211029049E-2</v>
      </c>
      <c r="AE115" s="5">
        <v>-0.1390877257693898</v>
      </c>
      <c r="AF115" s="5">
        <v>3.0582845211029049E-2</v>
      </c>
      <c r="AG115" s="5">
        <v>3.4005244572957359E-2</v>
      </c>
      <c r="AH115" s="5">
        <v>0.1390877257693898</v>
      </c>
    </row>
    <row r="116" spans="2:34" x14ac:dyDescent="0.2">
      <c r="B116" s="4">
        <v>2025</v>
      </c>
      <c r="C116" s="4">
        <v>13</v>
      </c>
      <c r="D116" s="4" t="s">
        <v>28</v>
      </c>
      <c r="E116" s="4" t="s">
        <v>31</v>
      </c>
      <c r="F116" s="4">
        <v>21</v>
      </c>
      <c r="G116" s="4">
        <v>17</v>
      </c>
      <c r="H116" s="8">
        <v>0.71553632687105495</v>
      </c>
      <c r="I116" s="4" t="s">
        <v>187</v>
      </c>
      <c r="J116" s="8">
        <v>0.28446367312894499</v>
      </c>
      <c r="K116" s="4" t="s">
        <v>12</v>
      </c>
      <c r="L116" s="4" t="s">
        <v>28</v>
      </c>
      <c r="M116" s="4" t="s">
        <v>28</v>
      </c>
      <c r="N116" s="4">
        <v>1</v>
      </c>
      <c r="O116" s="15">
        <v>26.918813575615321</v>
      </c>
      <c r="P116" s="15">
        <v>17.904846113736539</v>
      </c>
      <c r="Q116" s="4">
        <v>5.5</v>
      </c>
      <c r="R116" s="15">
        <v>9.0139674618787886</v>
      </c>
      <c r="S116" s="4" t="s">
        <v>139</v>
      </c>
      <c r="T116" s="4">
        <v>4</v>
      </c>
      <c r="U116" s="4" t="s">
        <v>138</v>
      </c>
      <c r="V116" s="4">
        <v>0</v>
      </c>
      <c r="W116" s="4">
        <v>41.5</v>
      </c>
      <c r="X116" s="9">
        <v>44.823659689351857</v>
      </c>
      <c r="Y116" s="4" t="s">
        <v>140</v>
      </c>
      <c r="Z116" s="4">
        <v>38</v>
      </c>
      <c r="AA116" s="4" t="s">
        <v>141</v>
      </c>
      <c r="AB116" s="4">
        <v>0</v>
      </c>
      <c r="AC116" s="5">
        <v>-0.1349042739186968</v>
      </c>
      <c r="AD116" s="5">
        <v>0.14688459123883929</v>
      </c>
      <c r="AE116" s="5">
        <v>1.8373789610686121E-2</v>
      </c>
      <c r="AF116" s="5">
        <v>-0.14688459123883929</v>
      </c>
      <c r="AG116" s="5">
        <v>0.1349042739186968</v>
      </c>
      <c r="AH116" s="5">
        <v>-1.8373789610686121E-2</v>
      </c>
    </row>
    <row r="117" spans="2:34" x14ac:dyDescent="0.2">
      <c r="B117" s="4">
        <v>2025</v>
      </c>
      <c r="C117" s="4">
        <v>13</v>
      </c>
      <c r="D117" s="4" t="s">
        <v>13</v>
      </c>
      <c r="E117" s="4" t="s">
        <v>49</v>
      </c>
      <c r="F117" s="4">
        <v>27</v>
      </c>
      <c r="G117" s="4">
        <v>24</v>
      </c>
      <c r="H117" s="8">
        <v>0.46351676924061591</v>
      </c>
      <c r="I117" s="4" t="s">
        <v>168</v>
      </c>
      <c r="J117" s="8">
        <v>0.53648323075938409</v>
      </c>
      <c r="K117" s="4" t="s">
        <v>169</v>
      </c>
      <c r="L117" s="4" t="s">
        <v>49</v>
      </c>
      <c r="M117" s="4" t="s">
        <v>13</v>
      </c>
      <c r="N117" s="4">
        <v>0</v>
      </c>
      <c r="O117" s="15">
        <v>24.52010004134878</v>
      </c>
      <c r="P117" s="15">
        <v>24.57762602875588</v>
      </c>
      <c r="Q117" s="4">
        <v>-3</v>
      </c>
      <c r="R117" s="9">
        <v>-5.7525987407096579E-2</v>
      </c>
      <c r="S117" s="4" t="s">
        <v>139</v>
      </c>
      <c r="T117" s="4">
        <v>3</v>
      </c>
      <c r="U117" s="4" t="s">
        <v>139</v>
      </c>
      <c r="V117" s="4">
        <v>1</v>
      </c>
      <c r="W117" s="4">
        <v>38.5</v>
      </c>
      <c r="X117" s="9">
        <v>49.097726070104663</v>
      </c>
      <c r="Y117" s="4" t="s">
        <v>140</v>
      </c>
      <c r="Z117" s="4">
        <v>51</v>
      </c>
      <c r="AA117" s="4" t="s">
        <v>140</v>
      </c>
      <c r="AB117" s="4">
        <v>1</v>
      </c>
      <c r="AC117" s="5">
        <v>2.3049904749943659E-2</v>
      </c>
      <c r="AD117" s="5">
        <v>-0.1808726822120556</v>
      </c>
      <c r="AE117" s="5">
        <v>0.46029137120102392</v>
      </c>
      <c r="AF117" s="5">
        <v>0.1808726822120556</v>
      </c>
      <c r="AG117" s="5">
        <v>-2.3049904749943659E-2</v>
      </c>
      <c r="AH117" s="5">
        <v>-0.46029137120102392</v>
      </c>
    </row>
    <row r="118" spans="2:34" x14ac:dyDescent="0.2">
      <c r="B118" s="4">
        <v>2025</v>
      </c>
      <c r="C118" s="4">
        <v>13</v>
      </c>
      <c r="D118" s="4" t="s">
        <v>43</v>
      </c>
      <c r="E118" s="4" t="s">
        <v>23</v>
      </c>
      <c r="F118" s="4">
        <v>20</v>
      </c>
      <c r="G118" s="4">
        <v>17</v>
      </c>
      <c r="H118" s="8">
        <v>0.54317326890060746</v>
      </c>
      <c r="I118" s="4" t="s">
        <v>188</v>
      </c>
      <c r="J118" s="8">
        <v>0.45682673109939248</v>
      </c>
      <c r="K118" s="4" t="s">
        <v>189</v>
      </c>
      <c r="L118" s="4" t="s">
        <v>43</v>
      </c>
      <c r="M118" s="4" t="s">
        <v>43</v>
      </c>
      <c r="N118" s="4">
        <v>1</v>
      </c>
      <c r="O118" s="15">
        <v>22.25229424880515</v>
      </c>
      <c r="P118" s="15">
        <v>19.465320455178389</v>
      </c>
      <c r="Q118" s="4">
        <v>4.5</v>
      </c>
      <c r="R118" s="9">
        <v>2.7869737936267569</v>
      </c>
      <c r="S118" s="4" t="s">
        <v>138</v>
      </c>
      <c r="T118" s="4">
        <v>3</v>
      </c>
      <c r="U118" s="4" t="s">
        <v>138</v>
      </c>
      <c r="V118" s="4">
        <v>1</v>
      </c>
      <c r="W118" s="4">
        <v>44.5</v>
      </c>
      <c r="X118" s="9">
        <v>41.717614703983543</v>
      </c>
      <c r="Y118" s="4" t="s">
        <v>141</v>
      </c>
      <c r="Z118" s="4">
        <v>37</v>
      </c>
      <c r="AA118" s="4" t="s">
        <v>141</v>
      </c>
      <c r="AB118" s="4">
        <v>1</v>
      </c>
      <c r="AC118" s="5">
        <v>-2.9960443233621532E-2</v>
      </c>
      <c r="AD118" s="5">
        <v>2.6304463545481369E-2</v>
      </c>
      <c r="AE118" s="5">
        <v>0.3582997114762016</v>
      </c>
      <c r="AF118" s="5">
        <v>-2.6304463545481369E-2</v>
      </c>
      <c r="AG118" s="5">
        <v>2.9960443233621532E-2</v>
      </c>
      <c r="AH118" s="5">
        <v>-0.3582997114762016</v>
      </c>
    </row>
    <row r="119" spans="2:34" x14ac:dyDescent="0.2">
      <c r="B119" s="4">
        <v>2025</v>
      </c>
      <c r="C119" s="4">
        <v>13</v>
      </c>
      <c r="D119" s="4" t="s">
        <v>38</v>
      </c>
      <c r="E119" s="4" t="s">
        <v>25</v>
      </c>
      <c r="F119" s="4">
        <v>3</v>
      </c>
      <c r="G119" s="4">
        <v>25</v>
      </c>
      <c r="H119" s="8">
        <v>0.31470373992465139</v>
      </c>
      <c r="I119" s="4" t="s">
        <v>155</v>
      </c>
      <c r="J119" s="8">
        <v>0.68529626007534861</v>
      </c>
      <c r="K119" s="4" t="s">
        <v>154</v>
      </c>
      <c r="L119" s="4" t="s">
        <v>25</v>
      </c>
      <c r="M119" s="4" t="s">
        <v>25</v>
      </c>
      <c r="N119" s="4">
        <v>1</v>
      </c>
      <c r="O119" s="15">
        <v>19.256245495337371</v>
      </c>
      <c r="P119" s="15">
        <v>24.747670521983679</v>
      </c>
      <c r="Q119" s="4">
        <v>-6</v>
      </c>
      <c r="R119" s="15">
        <v>-5.4914250266463078</v>
      </c>
      <c r="S119" s="4" t="s">
        <v>139</v>
      </c>
      <c r="T119" s="4">
        <v>-22</v>
      </c>
      <c r="U119" s="4" t="s">
        <v>138</v>
      </c>
      <c r="V119" s="4">
        <v>0</v>
      </c>
      <c r="W119" s="4">
        <v>42.5</v>
      </c>
      <c r="X119" s="9">
        <v>44.003916017321053</v>
      </c>
      <c r="Y119" s="4" t="s">
        <v>140</v>
      </c>
      <c r="Z119" s="4">
        <v>28</v>
      </c>
      <c r="AA119" s="4" t="s">
        <v>141</v>
      </c>
      <c r="AB119" s="4">
        <v>0</v>
      </c>
      <c r="AC119" s="5">
        <v>-0.37743313029661019</v>
      </c>
      <c r="AD119" s="5">
        <v>-9.9263052145640053E-3</v>
      </c>
      <c r="AE119" s="5">
        <v>-8.1854213367808945E-2</v>
      </c>
      <c r="AF119" s="5">
        <v>9.9263052145640053E-3</v>
      </c>
      <c r="AG119" s="5">
        <v>0.37743313029661019</v>
      </c>
      <c r="AH119" s="5">
        <v>8.1854213367808945E-2</v>
      </c>
    </row>
    <row r="120" spans="2:34" x14ac:dyDescent="0.2">
      <c r="B120" s="4">
        <v>2025</v>
      </c>
      <c r="C120" s="4">
        <v>13</v>
      </c>
      <c r="D120" s="4" t="s">
        <v>26</v>
      </c>
      <c r="E120" s="4" t="s">
        <v>77</v>
      </c>
      <c r="F120" s="4">
        <v>26</v>
      </c>
      <c r="G120" s="4">
        <v>0</v>
      </c>
      <c r="H120" s="8">
        <v>0.76149653354981373</v>
      </c>
      <c r="I120" s="4" t="s">
        <v>190</v>
      </c>
      <c r="J120" s="8">
        <v>0.2385034664501863</v>
      </c>
      <c r="K120" s="4" t="s">
        <v>191</v>
      </c>
      <c r="L120" s="4" t="s">
        <v>26</v>
      </c>
      <c r="M120" s="4" t="s">
        <v>26</v>
      </c>
      <c r="N120" s="4">
        <v>1</v>
      </c>
      <c r="O120" s="15">
        <v>26.62777531950438</v>
      </c>
      <c r="P120" s="15">
        <v>17.542469137365181</v>
      </c>
      <c r="Q120" s="4">
        <v>12.5</v>
      </c>
      <c r="R120" s="9">
        <v>9.0853061821392025</v>
      </c>
      <c r="S120" s="4" t="s">
        <v>138</v>
      </c>
      <c r="T120" s="4">
        <v>26</v>
      </c>
      <c r="U120" s="4" t="s">
        <v>139</v>
      </c>
      <c r="V120" s="4">
        <v>0</v>
      </c>
      <c r="W120" s="4">
        <v>42.5</v>
      </c>
      <c r="X120" s="9">
        <v>44.170244456869547</v>
      </c>
      <c r="Y120" s="4" t="s">
        <v>140</v>
      </c>
      <c r="Z120" s="4">
        <v>26</v>
      </c>
      <c r="AA120" s="4" t="s">
        <v>141</v>
      </c>
      <c r="AB120" s="4">
        <v>0</v>
      </c>
      <c r="AC120" s="5">
        <v>-0.1377916763077921</v>
      </c>
      <c r="AD120" s="5">
        <v>0.6641845703125</v>
      </c>
      <c r="AE120" s="5">
        <v>0.18704989682073181</v>
      </c>
      <c r="AF120" s="5">
        <v>-0.6641845703125</v>
      </c>
      <c r="AG120" s="5">
        <v>0.1377916763077921</v>
      </c>
      <c r="AH120" s="5">
        <v>-0.18704989682073181</v>
      </c>
    </row>
    <row r="121" spans="2:34" x14ac:dyDescent="0.2">
      <c r="B121" s="4">
        <v>2025</v>
      </c>
      <c r="C121" s="4">
        <v>13</v>
      </c>
      <c r="D121" s="4" t="s">
        <v>29</v>
      </c>
      <c r="E121" s="4" t="s">
        <v>37</v>
      </c>
      <c r="F121" s="4">
        <v>31</v>
      </c>
      <c r="G121" s="4">
        <v>14</v>
      </c>
      <c r="H121" s="8">
        <v>0.75882698175695307</v>
      </c>
      <c r="I121" s="4" t="s">
        <v>192</v>
      </c>
      <c r="J121" s="8">
        <v>0.2411730182430469</v>
      </c>
      <c r="K121" s="4" t="s">
        <v>193</v>
      </c>
      <c r="L121" s="4" t="s">
        <v>29</v>
      </c>
      <c r="M121" s="4" t="s">
        <v>29</v>
      </c>
      <c r="N121" s="4">
        <v>1</v>
      </c>
      <c r="O121" s="15">
        <v>26.695924407346009</v>
      </c>
      <c r="P121" s="15">
        <v>16.29599177358509</v>
      </c>
      <c r="Q121" s="4">
        <v>10</v>
      </c>
      <c r="R121" s="9">
        <v>10.399932633760921</v>
      </c>
      <c r="S121" s="4" t="s">
        <v>139</v>
      </c>
      <c r="T121" s="4">
        <v>17</v>
      </c>
      <c r="U121" s="4" t="s">
        <v>139</v>
      </c>
      <c r="V121" s="4">
        <v>1</v>
      </c>
      <c r="W121" s="4">
        <v>40.5</v>
      </c>
      <c r="X121" s="9">
        <v>42.991916180931099</v>
      </c>
      <c r="Y121" s="4" t="s">
        <v>140</v>
      </c>
      <c r="Z121" s="4">
        <v>45</v>
      </c>
      <c r="AA121" s="4" t="s">
        <v>140</v>
      </c>
      <c r="AB121" s="4">
        <v>1</v>
      </c>
      <c r="AC121" s="5">
        <v>0.1381939227764423</v>
      </c>
      <c r="AD121" s="5">
        <v>0.25111865997314448</v>
      </c>
      <c r="AE121" s="5">
        <v>9.6234646710482513E-2</v>
      </c>
      <c r="AF121" s="5">
        <v>-0.25111865997314448</v>
      </c>
      <c r="AG121" s="5">
        <v>-0.1381939227764423</v>
      </c>
      <c r="AH121" s="5">
        <v>-9.6234646710482513E-2</v>
      </c>
    </row>
    <row r="122" spans="2:34" x14ac:dyDescent="0.2">
      <c r="B122" s="4">
        <v>2025</v>
      </c>
      <c r="C122" s="4">
        <v>13</v>
      </c>
      <c r="D122" s="4" t="s">
        <v>34</v>
      </c>
      <c r="E122" s="4" t="s">
        <v>50</v>
      </c>
      <c r="F122" s="4">
        <v>7</v>
      </c>
      <c r="G122" s="4">
        <v>26</v>
      </c>
      <c r="H122" s="8">
        <v>0.39730694064557293</v>
      </c>
      <c r="I122" s="4" t="s">
        <v>39</v>
      </c>
      <c r="J122" s="8">
        <v>0.60269305935442707</v>
      </c>
      <c r="K122" s="4" t="s">
        <v>194</v>
      </c>
      <c r="L122" s="4" t="s">
        <v>50</v>
      </c>
      <c r="M122" s="4" t="s">
        <v>50</v>
      </c>
      <c r="N122" s="4">
        <v>1</v>
      </c>
      <c r="O122" s="9">
        <v>20.211740109905939</v>
      </c>
      <c r="P122" s="15">
        <v>26.383452346648141</v>
      </c>
      <c r="Q122" s="4">
        <v>-3</v>
      </c>
      <c r="R122" s="9">
        <v>-6.1717122367422057</v>
      </c>
      <c r="S122" s="4" t="s">
        <v>138</v>
      </c>
      <c r="T122" s="4">
        <v>-19</v>
      </c>
      <c r="U122" s="4" t="s">
        <v>138</v>
      </c>
      <c r="V122" s="4">
        <v>1</v>
      </c>
      <c r="W122" s="4">
        <v>44.5</v>
      </c>
      <c r="X122" s="9">
        <v>46.595192456554066</v>
      </c>
      <c r="Y122" s="4" t="s">
        <v>140</v>
      </c>
      <c r="Z122" s="4">
        <v>33</v>
      </c>
      <c r="AA122" s="4" t="s">
        <v>141</v>
      </c>
      <c r="AB122" s="4">
        <v>0</v>
      </c>
      <c r="AC122" s="5">
        <v>-0.42424911676451221</v>
      </c>
      <c r="AD122" s="5">
        <v>-0.10006493491095469</v>
      </c>
      <c r="AE122" s="5">
        <v>3.5115478932857512E-2</v>
      </c>
      <c r="AF122" s="5">
        <v>0.10006493491095469</v>
      </c>
      <c r="AG122" s="5">
        <v>0.42424911676451221</v>
      </c>
      <c r="AH122" s="5">
        <v>-3.5115478932857512E-2</v>
      </c>
    </row>
    <row r="123" spans="2:34" x14ac:dyDescent="0.2">
      <c r="B123" s="4">
        <v>2025</v>
      </c>
      <c r="C123" s="4">
        <v>13</v>
      </c>
      <c r="D123" s="4" t="s">
        <v>52</v>
      </c>
      <c r="E123" s="4" t="s">
        <v>14</v>
      </c>
      <c r="F123" s="4">
        <v>26</v>
      </c>
      <c r="G123" s="4">
        <v>27</v>
      </c>
      <c r="H123" s="8">
        <v>0.37833675513830672</v>
      </c>
      <c r="I123" s="4" t="s">
        <v>195</v>
      </c>
      <c r="J123" s="8">
        <v>0.62166324486169333</v>
      </c>
      <c r="K123" s="4" t="s">
        <v>196</v>
      </c>
      <c r="L123" s="4" t="s">
        <v>14</v>
      </c>
      <c r="M123" s="4" t="s">
        <v>14</v>
      </c>
      <c r="N123" s="4">
        <v>1</v>
      </c>
      <c r="O123" s="9">
        <v>20.29185647762786</v>
      </c>
      <c r="P123" s="15">
        <v>25.954848263773609</v>
      </c>
      <c r="Q123" s="4">
        <v>-6.5</v>
      </c>
      <c r="R123" s="9">
        <v>-5.6629917861457528</v>
      </c>
      <c r="S123" s="4" t="s">
        <v>139</v>
      </c>
      <c r="T123" s="4">
        <v>-1</v>
      </c>
      <c r="U123" s="4" t="s">
        <v>139</v>
      </c>
      <c r="V123" s="4">
        <v>1</v>
      </c>
      <c r="W123" s="4">
        <v>43.5</v>
      </c>
      <c r="X123" s="9">
        <v>46.246704741401473</v>
      </c>
      <c r="Y123" s="4" t="s">
        <v>140</v>
      </c>
      <c r="Z123" s="4">
        <v>53</v>
      </c>
      <c r="AA123" s="4" t="s">
        <v>140</v>
      </c>
      <c r="AB123" s="4">
        <v>1</v>
      </c>
      <c r="AC123" s="5">
        <v>9.9916902455416595E-2</v>
      </c>
      <c r="AD123" s="5">
        <v>-0.15219854627336771</v>
      </c>
      <c r="AE123" s="5">
        <v>1.051500687996546E-2</v>
      </c>
      <c r="AF123" s="5">
        <v>0.15219854627336771</v>
      </c>
      <c r="AG123" s="5">
        <v>-9.9916902455416595E-2</v>
      </c>
      <c r="AH123" s="5">
        <v>-1.051500687996546E-2</v>
      </c>
    </row>
    <row r="124" spans="2:34" x14ac:dyDescent="0.2">
      <c r="B124" s="4">
        <v>2025</v>
      </c>
      <c r="C124" s="4">
        <v>13</v>
      </c>
      <c r="D124" s="4" t="s">
        <v>32</v>
      </c>
      <c r="E124" s="4" t="s">
        <v>10</v>
      </c>
      <c r="F124" s="4">
        <v>33</v>
      </c>
      <c r="G124" s="4">
        <v>15</v>
      </c>
      <c r="H124" s="8">
        <v>0.6888767985257922</v>
      </c>
      <c r="I124" s="4" t="s">
        <v>197</v>
      </c>
      <c r="J124" s="8">
        <v>0.3111232014742078</v>
      </c>
      <c r="K124" s="4" t="s">
        <v>198</v>
      </c>
      <c r="L124" s="4" t="s">
        <v>32</v>
      </c>
      <c r="M124" s="4" t="s">
        <v>32</v>
      </c>
      <c r="N124" s="4">
        <v>1</v>
      </c>
      <c r="O124" s="9">
        <v>29.212794798274679</v>
      </c>
      <c r="P124" s="15">
        <v>20.605659243440741</v>
      </c>
      <c r="Q124" s="4">
        <v>7</v>
      </c>
      <c r="R124" s="9">
        <v>8.6071355548339383</v>
      </c>
      <c r="S124" s="4" t="s">
        <v>139</v>
      </c>
      <c r="T124" s="4">
        <v>18</v>
      </c>
      <c r="U124" s="4" t="s">
        <v>139</v>
      </c>
      <c r="V124" s="4">
        <v>1</v>
      </c>
      <c r="W124" s="4">
        <v>46.5</v>
      </c>
      <c r="X124" s="9">
        <v>49.81845404171542</v>
      </c>
      <c r="Y124" s="4" t="s">
        <v>140</v>
      </c>
      <c r="Z124" s="4">
        <v>48</v>
      </c>
      <c r="AA124" s="4" t="s">
        <v>140</v>
      </c>
      <c r="AB124" s="4">
        <v>1</v>
      </c>
      <c r="AC124" s="5">
        <v>0.15040765489850719</v>
      </c>
      <c r="AD124" s="5">
        <v>9.7416504946621976E-2</v>
      </c>
      <c r="AE124" s="5">
        <v>0.19194484674013579</v>
      </c>
      <c r="AF124" s="5">
        <v>-9.7416504946621976E-2</v>
      </c>
      <c r="AG124" s="5">
        <v>-0.15040765489850719</v>
      </c>
      <c r="AH124" s="5">
        <v>-0.19194484674013579</v>
      </c>
    </row>
    <row r="125" spans="2:34" x14ac:dyDescent="0.2">
      <c r="B125" s="4">
        <v>2025</v>
      </c>
      <c r="C125" s="4">
        <v>14</v>
      </c>
      <c r="D125" s="4" t="s">
        <v>47</v>
      </c>
      <c r="E125" s="4" t="s">
        <v>20</v>
      </c>
      <c r="F125" s="4">
        <v>44</v>
      </c>
      <c r="G125" s="4">
        <v>30</v>
      </c>
      <c r="H125" s="8">
        <v>0.51872586974214685</v>
      </c>
      <c r="I125" s="4" t="s">
        <v>170</v>
      </c>
      <c r="J125" s="8">
        <v>0.48127413025785309</v>
      </c>
      <c r="K125" s="4" t="s">
        <v>72</v>
      </c>
      <c r="L125" s="4" t="s">
        <v>47</v>
      </c>
      <c r="M125" s="4" t="s">
        <v>47</v>
      </c>
      <c r="N125" s="4">
        <v>1</v>
      </c>
      <c r="O125" s="15">
        <v>26.082421122049201</v>
      </c>
      <c r="P125" s="15">
        <v>23.23212581345059</v>
      </c>
      <c r="Q125" s="4">
        <v>3.5</v>
      </c>
      <c r="R125" s="15">
        <v>2.8502953085986178</v>
      </c>
      <c r="S125" s="4" t="s">
        <v>138</v>
      </c>
      <c r="T125" s="4">
        <v>14</v>
      </c>
      <c r="U125" s="4" t="s">
        <v>139</v>
      </c>
      <c r="V125" s="4">
        <v>0</v>
      </c>
      <c r="W125" s="4">
        <v>55.5</v>
      </c>
      <c r="X125" s="9">
        <v>49.314546935499791</v>
      </c>
      <c r="Y125" s="4" t="s">
        <v>141</v>
      </c>
      <c r="Z125" s="4">
        <v>74</v>
      </c>
      <c r="AA125" s="4" t="s">
        <v>140</v>
      </c>
      <c r="AB125" s="4">
        <v>0</v>
      </c>
      <c r="AC125" s="5">
        <v>0.2641339619954427</v>
      </c>
      <c r="AD125" s="5">
        <v>6.7213211530520595E-2</v>
      </c>
      <c r="AE125" s="5">
        <v>-0.22207884107317241</v>
      </c>
      <c r="AF125" s="5">
        <v>-6.7213211530520595E-2</v>
      </c>
      <c r="AG125" s="5">
        <v>-0.2641339619954427</v>
      </c>
      <c r="AH125" s="5">
        <v>0.22207884107317241</v>
      </c>
    </row>
    <row r="126" spans="2:34" x14ac:dyDescent="0.2">
      <c r="B126" s="4">
        <v>2025</v>
      </c>
      <c r="C126" s="4">
        <v>14</v>
      </c>
      <c r="D126" s="4" t="s">
        <v>49</v>
      </c>
      <c r="E126" s="4" t="s">
        <v>26</v>
      </c>
      <c r="F126" s="4">
        <v>9</v>
      </c>
      <c r="G126" s="4">
        <v>37</v>
      </c>
      <c r="H126" s="8">
        <v>0.41498900290638502</v>
      </c>
      <c r="I126" s="4" t="s">
        <v>74</v>
      </c>
      <c r="J126" s="8">
        <v>0.58501099709361504</v>
      </c>
      <c r="K126" s="4" t="s">
        <v>153</v>
      </c>
      <c r="L126" s="4" t="s">
        <v>26</v>
      </c>
      <c r="M126" s="4" t="s">
        <v>26</v>
      </c>
      <c r="N126" s="4">
        <v>1</v>
      </c>
      <c r="O126" s="15">
        <v>21.281556408156519</v>
      </c>
      <c r="P126" s="15">
        <v>22.920687871562979</v>
      </c>
      <c r="Q126" s="4">
        <v>-7</v>
      </c>
      <c r="R126" s="15">
        <v>-1.639131463406464</v>
      </c>
      <c r="S126" s="4" t="s">
        <v>139</v>
      </c>
      <c r="T126" s="4">
        <v>-28</v>
      </c>
      <c r="U126" s="4" t="s">
        <v>138</v>
      </c>
      <c r="V126" s="4">
        <v>0</v>
      </c>
      <c r="W126" s="4">
        <v>44.5</v>
      </c>
      <c r="X126" s="9">
        <v>44.202244279719501</v>
      </c>
      <c r="Y126" s="4" t="s">
        <v>141</v>
      </c>
      <c r="Z126" s="4">
        <v>46</v>
      </c>
      <c r="AA126" s="4" t="s">
        <v>140</v>
      </c>
      <c r="AB126" s="4">
        <v>0</v>
      </c>
      <c r="AC126" s="5">
        <v>-0.2973821759223938</v>
      </c>
      <c r="AD126" s="5">
        <v>-0.1188917550884309</v>
      </c>
      <c r="AE126" s="5">
        <v>-0.25661842028299969</v>
      </c>
      <c r="AF126" s="5">
        <v>0.1188917550884309</v>
      </c>
      <c r="AG126" s="5">
        <v>0.2973821759223938</v>
      </c>
      <c r="AH126" s="5">
        <v>0.25661842028299969</v>
      </c>
    </row>
    <row r="127" spans="2:34" x14ac:dyDescent="0.2">
      <c r="B127" s="4">
        <v>2025</v>
      </c>
      <c r="C127" s="4">
        <v>14</v>
      </c>
      <c r="D127" s="4" t="s">
        <v>16</v>
      </c>
      <c r="E127" s="4" t="s">
        <v>34</v>
      </c>
      <c r="F127" s="4">
        <v>22</v>
      </c>
      <c r="G127" s="4">
        <v>27</v>
      </c>
      <c r="H127" s="8">
        <v>0.56606634291720703</v>
      </c>
      <c r="I127" s="4" t="s">
        <v>199</v>
      </c>
      <c r="J127" s="8">
        <v>0.43393365708279302</v>
      </c>
      <c r="K127" s="4" t="s">
        <v>200</v>
      </c>
      <c r="L127" s="4" t="s">
        <v>16</v>
      </c>
      <c r="M127" s="4" t="s">
        <v>34</v>
      </c>
      <c r="N127" s="4">
        <v>0</v>
      </c>
      <c r="O127" s="15">
        <v>20.586488304350539</v>
      </c>
      <c r="P127" s="15">
        <v>17.640015408147601</v>
      </c>
      <c r="Q127" s="4">
        <v>5.5</v>
      </c>
      <c r="R127" s="9">
        <v>2.9464728962029381</v>
      </c>
      <c r="S127" s="4" t="s">
        <v>138</v>
      </c>
      <c r="T127" s="4">
        <v>-5</v>
      </c>
      <c r="U127" s="4" t="s">
        <v>138</v>
      </c>
      <c r="V127" s="4">
        <v>1</v>
      </c>
      <c r="W127" s="4">
        <v>43.5</v>
      </c>
      <c r="X127" s="9">
        <v>38.226503712498143</v>
      </c>
      <c r="Y127" s="4" t="s">
        <v>141</v>
      </c>
      <c r="Z127" s="4">
        <v>49</v>
      </c>
      <c r="AA127" s="4" t="s">
        <v>140</v>
      </c>
      <c r="AB127" s="4">
        <v>0</v>
      </c>
      <c r="AC127" s="5">
        <v>2.4042957868331521E-2</v>
      </c>
      <c r="AD127" s="5">
        <v>-0.24276742748185701</v>
      </c>
      <c r="AE127" s="5">
        <v>4.1653892823628018E-2</v>
      </c>
      <c r="AF127" s="5">
        <v>0.24276742748185701</v>
      </c>
      <c r="AG127" s="5">
        <v>-2.4042957868331521E-2</v>
      </c>
      <c r="AH127" s="5">
        <v>-4.1653892823628018E-2</v>
      </c>
    </row>
    <row r="128" spans="2:34" x14ac:dyDescent="0.2">
      <c r="B128" s="4">
        <v>2025</v>
      </c>
      <c r="C128" s="4">
        <v>14</v>
      </c>
      <c r="D128" s="4" t="s">
        <v>50</v>
      </c>
      <c r="E128" s="4" t="s">
        <v>41</v>
      </c>
      <c r="F128" s="4">
        <v>39</v>
      </c>
      <c r="G128" s="4">
        <v>34</v>
      </c>
      <c r="H128" s="8">
        <v>0.64344730114031246</v>
      </c>
      <c r="I128" s="4" t="s">
        <v>201</v>
      </c>
      <c r="J128" s="8">
        <v>0.35655269885968749</v>
      </c>
      <c r="K128" s="4" t="s">
        <v>202</v>
      </c>
      <c r="L128" s="4" t="s">
        <v>50</v>
      </c>
      <c r="M128" s="4" t="s">
        <v>50</v>
      </c>
      <c r="N128" s="4">
        <v>1</v>
      </c>
      <c r="O128" s="15">
        <v>25.81515874475074</v>
      </c>
      <c r="P128" s="15">
        <v>22.745751219596269</v>
      </c>
      <c r="Q128" s="4">
        <v>6</v>
      </c>
      <c r="R128" s="9">
        <v>3.069407525154475</v>
      </c>
      <c r="S128" s="4" t="s">
        <v>138</v>
      </c>
      <c r="T128" s="4">
        <v>5</v>
      </c>
      <c r="U128" s="4" t="s">
        <v>138</v>
      </c>
      <c r="V128" s="4">
        <v>1</v>
      </c>
      <c r="W128" s="4">
        <v>54.5</v>
      </c>
      <c r="X128" s="9">
        <v>48.560909964347012</v>
      </c>
      <c r="Y128" s="4" t="s">
        <v>141</v>
      </c>
      <c r="Z128" s="4">
        <v>73</v>
      </c>
      <c r="AA128" s="4" t="s">
        <v>140</v>
      </c>
      <c r="AB128" s="4">
        <v>0</v>
      </c>
      <c r="AC128" s="5">
        <v>0.26668303807576499</v>
      </c>
      <c r="AD128" s="5">
        <v>-0.187973701347739</v>
      </c>
      <c r="AE128" s="5">
        <v>-1.9132118958693281E-2</v>
      </c>
      <c r="AF128" s="5">
        <v>0.187973701347739</v>
      </c>
      <c r="AG128" s="5">
        <v>-0.26668303807576499</v>
      </c>
      <c r="AH128" s="5">
        <v>1.9132118958693281E-2</v>
      </c>
    </row>
    <row r="129" spans="2:34" x14ac:dyDescent="0.2">
      <c r="B129" s="4">
        <v>2025</v>
      </c>
      <c r="C129" s="4">
        <v>14</v>
      </c>
      <c r="D129" s="4" t="s">
        <v>35</v>
      </c>
      <c r="E129" s="4" t="s">
        <v>38</v>
      </c>
      <c r="F129" s="4">
        <v>29</v>
      </c>
      <c r="G129" s="4">
        <v>31</v>
      </c>
      <c r="H129" s="8">
        <v>0.61064355659787484</v>
      </c>
      <c r="I129" s="4" t="s">
        <v>203</v>
      </c>
      <c r="J129" s="8">
        <v>0.38935644340212522</v>
      </c>
      <c r="K129" s="4" t="s">
        <v>204</v>
      </c>
      <c r="L129" s="4" t="s">
        <v>35</v>
      </c>
      <c r="M129" s="4" t="s">
        <v>38</v>
      </c>
      <c r="N129" s="4">
        <v>0</v>
      </c>
      <c r="O129" s="15">
        <v>21.745571355545529</v>
      </c>
      <c r="P129" s="15">
        <v>19.382764623152521</v>
      </c>
      <c r="Q129" s="4">
        <v>4.5</v>
      </c>
      <c r="R129" s="9">
        <v>2.362806732393008</v>
      </c>
      <c r="S129" s="4" t="s">
        <v>138</v>
      </c>
      <c r="T129" s="4">
        <v>-2</v>
      </c>
      <c r="U129" s="4" t="s">
        <v>138</v>
      </c>
      <c r="V129" s="4">
        <v>1</v>
      </c>
      <c r="W129" s="4">
        <v>33.5</v>
      </c>
      <c r="X129" s="9">
        <v>41.128335978698047</v>
      </c>
      <c r="Y129" s="4" t="s">
        <v>140</v>
      </c>
      <c r="Z129" s="4">
        <v>60</v>
      </c>
      <c r="AA129" s="4" t="s">
        <v>140</v>
      </c>
      <c r="AB129" s="4">
        <v>1</v>
      </c>
      <c r="AC129" s="5">
        <v>-2.806742867427086E-2</v>
      </c>
      <c r="AD129" s="5">
        <v>0.10117867498686819</v>
      </c>
      <c r="AE129" s="5">
        <v>-0.27779840778660131</v>
      </c>
      <c r="AF129" s="5">
        <v>-0.10117867498686819</v>
      </c>
      <c r="AG129" s="5">
        <v>2.806742867427086E-2</v>
      </c>
      <c r="AH129" s="5">
        <v>0.27779840778660131</v>
      </c>
    </row>
    <row r="130" spans="2:34" x14ac:dyDescent="0.2">
      <c r="B130" s="4">
        <v>2025</v>
      </c>
      <c r="C130" s="4">
        <v>14</v>
      </c>
      <c r="D130" s="4" t="s">
        <v>25</v>
      </c>
      <c r="E130" s="4" t="s">
        <v>22</v>
      </c>
      <c r="F130" s="4">
        <v>36</v>
      </c>
      <c r="G130" s="4">
        <v>19</v>
      </c>
      <c r="H130" s="8">
        <v>0.44249000306642372</v>
      </c>
      <c r="I130" s="4" t="s">
        <v>205</v>
      </c>
      <c r="J130" s="8">
        <v>0.55750999693357639</v>
      </c>
      <c r="K130" s="4" t="s">
        <v>206</v>
      </c>
      <c r="L130" s="4" t="s">
        <v>22</v>
      </c>
      <c r="M130" s="4" t="s">
        <v>25</v>
      </c>
      <c r="N130" s="4">
        <v>0</v>
      </c>
      <c r="O130" s="15">
        <v>23.558138792925071</v>
      </c>
      <c r="P130" s="15">
        <v>22.157250809323219</v>
      </c>
      <c r="Q130" s="4">
        <v>-2.5</v>
      </c>
      <c r="R130" s="15">
        <v>1.4008879836018551</v>
      </c>
      <c r="S130" s="4" t="s">
        <v>139</v>
      </c>
      <c r="T130" s="4">
        <v>17</v>
      </c>
      <c r="U130" s="4" t="s">
        <v>139</v>
      </c>
      <c r="V130" s="4">
        <v>1</v>
      </c>
      <c r="W130" s="4">
        <v>44.5</v>
      </c>
      <c r="X130" s="9">
        <v>45.715389602248287</v>
      </c>
      <c r="Y130" s="4" t="s">
        <v>140</v>
      </c>
      <c r="Z130" s="4">
        <v>55</v>
      </c>
      <c r="AA130" s="4" t="s">
        <v>140</v>
      </c>
      <c r="AB130" s="4">
        <v>1</v>
      </c>
      <c r="AC130" s="5">
        <v>6.9307522695572651E-2</v>
      </c>
      <c r="AD130" s="5">
        <v>0.1406877742094152</v>
      </c>
      <c r="AE130" s="5">
        <v>0.1256219148635864</v>
      </c>
      <c r="AF130" s="5">
        <v>-0.1406877742094152</v>
      </c>
      <c r="AG130" s="5">
        <v>-6.9307522695572651E-2</v>
      </c>
      <c r="AH130" s="5">
        <v>-0.1256219148635864</v>
      </c>
    </row>
    <row r="131" spans="2:34" x14ac:dyDescent="0.2">
      <c r="B131" s="4">
        <v>2025</v>
      </c>
      <c r="C131" s="4">
        <v>14</v>
      </c>
      <c r="D131" s="4" t="s">
        <v>77</v>
      </c>
      <c r="E131" s="4" t="s">
        <v>52</v>
      </c>
      <c r="F131" s="4">
        <v>31</v>
      </c>
      <c r="G131" s="4">
        <v>0</v>
      </c>
      <c r="H131" s="8">
        <v>0.38445518210763951</v>
      </c>
      <c r="I131" s="4" t="s">
        <v>98</v>
      </c>
      <c r="J131" s="8">
        <v>0.61554481789236049</v>
      </c>
      <c r="K131" s="4" t="s">
        <v>207</v>
      </c>
      <c r="L131" s="4" t="s">
        <v>52</v>
      </c>
      <c r="M131" s="4" t="s">
        <v>77</v>
      </c>
      <c r="N131" s="4">
        <v>0</v>
      </c>
      <c r="O131" s="15">
        <v>20.682521724811011</v>
      </c>
      <c r="P131" s="15">
        <v>22.82301635712933</v>
      </c>
      <c r="Q131" s="4">
        <v>-1.5</v>
      </c>
      <c r="R131" s="9">
        <v>-2.140494632318322</v>
      </c>
      <c r="S131" s="4" t="s">
        <v>138</v>
      </c>
      <c r="T131" s="4">
        <v>31</v>
      </c>
      <c r="U131" s="4" t="s">
        <v>139</v>
      </c>
      <c r="V131" s="4">
        <v>0</v>
      </c>
      <c r="W131" s="4">
        <v>43.5</v>
      </c>
      <c r="X131" s="9">
        <v>43.505538081940337</v>
      </c>
      <c r="Y131" s="4" t="s">
        <v>140</v>
      </c>
      <c r="Z131" s="4">
        <v>31</v>
      </c>
      <c r="AA131" s="4" t="s">
        <v>141</v>
      </c>
      <c r="AB131" s="4">
        <v>0</v>
      </c>
      <c r="AC131" s="5">
        <v>0.30457706451416022</v>
      </c>
      <c r="AD131" s="5">
        <v>0.37201723685631383</v>
      </c>
      <c r="AE131" s="5">
        <v>0.2078226953744888</v>
      </c>
      <c r="AF131" s="5">
        <v>-0.37201723685631383</v>
      </c>
      <c r="AG131" s="5">
        <v>-0.30457706451416022</v>
      </c>
      <c r="AH131" s="5">
        <v>-0.2078226953744888</v>
      </c>
    </row>
    <row r="132" spans="2:34" x14ac:dyDescent="0.2">
      <c r="B132" s="4">
        <v>2025</v>
      </c>
      <c r="C132" s="4">
        <v>14</v>
      </c>
      <c r="D132" s="4" t="s">
        <v>13</v>
      </c>
      <c r="E132" s="4" t="s">
        <v>28</v>
      </c>
      <c r="F132" s="4">
        <v>10</v>
      </c>
      <c r="G132" s="4">
        <v>34</v>
      </c>
      <c r="H132" s="8">
        <v>0.47827311700536812</v>
      </c>
      <c r="I132" s="4" t="s">
        <v>208</v>
      </c>
      <c r="J132" s="8">
        <v>0.52172688299463199</v>
      </c>
      <c r="K132" s="4" t="s">
        <v>209</v>
      </c>
      <c r="L132" s="4" t="s">
        <v>28</v>
      </c>
      <c r="M132" s="4" t="s">
        <v>28</v>
      </c>
      <c r="N132" s="4">
        <v>1</v>
      </c>
      <c r="O132" s="15">
        <v>23.31364207408232</v>
      </c>
      <c r="P132" s="15">
        <v>23.38174447974518</v>
      </c>
      <c r="Q132" s="4">
        <v>-2.5</v>
      </c>
      <c r="R132" s="15">
        <v>-6.8102405662859411E-2</v>
      </c>
      <c r="S132" s="4" t="s">
        <v>139</v>
      </c>
      <c r="T132" s="4">
        <v>-24</v>
      </c>
      <c r="U132" s="4" t="s">
        <v>138</v>
      </c>
      <c r="V132" s="4">
        <v>0</v>
      </c>
      <c r="W132" s="4">
        <v>41.5</v>
      </c>
      <c r="X132" s="9">
        <v>46.695386553827497</v>
      </c>
      <c r="Y132" s="4" t="s">
        <v>140</v>
      </c>
      <c r="Z132" s="4">
        <v>44</v>
      </c>
      <c r="AA132" s="4" t="s">
        <v>140</v>
      </c>
      <c r="AB132" s="4">
        <v>1</v>
      </c>
      <c r="AC132" s="5">
        <v>-0.40068050966424462</v>
      </c>
      <c r="AD132" s="5">
        <v>-0.21568928067646331</v>
      </c>
      <c r="AE132" s="5">
        <v>0.16751027504603069</v>
      </c>
      <c r="AF132" s="5">
        <v>0.21568928067646331</v>
      </c>
      <c r="AG132" s="5">
        <v>0.40068050966424462</v>
      </c>
      <c r="AH132" s="5">
        <v>-0.16751027504603069</v>
      </c>
    </row>
    <row r="133" spans="2:34" x14ac:dyDescent="0.2">
      <c r="B133" s="4">
        <v>2025</v>
      </c>
      <c r="C133" s="4">
        <v>14</v>
      </c>
      <c r="D133" s="4" t="s">
        <v>43</v>
      </c>
      <c r="E133" s="4" t="s">
        <v>31</v>
      </c>
      <c r="F133" s="4">
        <v>20</v>
      </c>
      <c r="G133" s="4">
        <v>24</v>
      </c>
      <c r="H133" s="8">
        <v>0.65998997864793829</v>
      </c>
      <c r="I133" s="4" t="s">
        <v>210</v>
      </c>
      <c r="J133" s="8">
        <v>0.34001002135206171</v>
      </c>
      <c r="K133" s="4" t="s">
        <v>211</v>
      </c>
      <c r="L133" s="4" t="s">
        <v>43</v>
      </c>
      <c r="M133" s="4" t="s">
        <v>31</v>
      </c>
      <c r="N133" s="4">
        <v>0</v>
      </c>
      <c r="O133" s="15">
        <v>24.01809321828236</v>
      </c>
      <c r="P133" s="15">
        <v>17.234152513095399</v>
      </c>
      <c r="Q133" s="4">
        <v>7.5</v>
      </c>
      <c r="R133" s="9">
        <v>6.7839407051869571</v>
      </c>
      <c r="S133" s="4" t="s">
        <v>138</v>
      </c>
      <c r="T133" s="4">
        <v>-4</v>
      </c>
      <c r="U133" s="4" t="s">
        <v>138</v>
      </c>
      <c r="V133" s="4">
        <v>1</v>
      </c>
      <c r="W133" s="4">
        <v>41.5</v>
      </c>
      <c r="X133" s="9">
        <v>41.252245731377762</v>
      </c>
      <c r="Y133" s="4" t="s">
        <v>141</v>
      </c>
      <c r="Z133" s="4">
        <v>44</v>
      </c>
      <c r="AA133" s="4" t="s">
        <v>140</v>
      </c>
      <c r="AB133" s="4">
        <v>0</v>
      </c>
      <c r="AC133" s="5">
        <v>-0.14934490822456981</v>
      </c>
      <c r="AD133" s="5">
        <v>-1.1082674775804791E-3</v>
      </c>
      <c r="AE133" s="5">
        <v>8.6620735085528824E-2</v>
      </c>
      <c r="AF133" s="5">
        <v>1.1082674775804791E-3</v>
      </c>
      <c r="AG133" s="5">
        <v>0.14934490822456981</v>
      </c>
      <c r="AH133" s="5">
        <v>-8.6620735085528824E-2</v>
      </c>
    </row>
    <row r="134" spans="2:34" x14ac:dyDescent="0.2">
      <c r="B134" s="4">
        <v>2025</v>
      </c>
      <c r="C134" s="4">
        <v>14</v>
      </c>
      <c r="D134" s="4" t="s">
        <v>37</v>
      </c>
      <c r="E134" s="4" t="s">
        <v>14</v>
      </c>
      <c r="F134" s="4">
        <v>17</v>
      </c>
      <c r="G134" s="4">
        <v>24</v>
      </c>
      <c r="H134" s="8">
        <v>0.2366009774534466</v>
      </c>
      <c r="I134" s="4" t="s">
        <v>212</v>
      </c>
      <c r="J134" s="8">
        <v>0.76339902254655334</v>
      </c>
      <c r="K134" s="4" t="s">
        <v>213</v>
      </c>
      <c r="L134" s="4" t="s">
        <v>14</v>
      </c>
      <c r="M134" s="4" t="s">
        <v>14</v>
      </c>
      <c r="N134" s="4">
        <v>1</v>
      </c>
      <c r="O134" s="15">
        <v>13.824416276482729</v>
      </c>
      <c r="P134" s="15">
        <v>25.89895427149396</v>
      </c>
      <c r="Q134" s="4">
        <v>-8.5</v>
      </c>
      <c r="R134" s="9">
        <v>-12.074537995011219</v>
      </c>
      <c r="S134" s="4" t="s">
        <v>138</v>
      </c>
      <c r="T134" s="4">
        <v>-7</v>
      </c>
      <c r="U134" s="4" t="s">
        <v>139</v>
      </c>
      <c r="V134" s="4">
        <v>0</v>
      </c>
      <c r="W134" s="4">
        <v>40.5</v>
      </c>
      <c r="X134" s="9">
        <v>39.723370547976693</v>
      </c>
      <c r="Y134" s="4" t="s">
        <v>141</v>
      </c>
      <c r="Z134" s="4">
        <v>41</v>
      </c>
      <c r="AA134" s="4" t="s">
        <v>140</v>
      </c>
      <c r="AB134" s="4">
        <v>0</v>
      </c>
      <c r="AC134" s="5">
        <v>1.238377571105957E-2</v>
      </c>
      <c r="AD134" s="5">
        <v>-0.1455832816459037</v>
      </c>
      <c r="AE134" s="5">
        <v>-5.2487238457328403E-2</v>
      </c>
      <c r="AF134" s="5">
        <v>0.1455832816459037</v>
      </c>
      <c r="AG134" s="5">
        <v>-1.238377571105957E-2</v>
      </c>
      <c r="AH134" s="5">
        <v>5.2487238457328403E-2</v>
      </c>
    </row>
    <row r="135" spans="2:34" x14ac:dyDescent="0.2">
      <c r="B135" s="4">
        <v>2025</v>
      </c>
      <c r="C135" s="4">
        <v>14</v>
      </c>
      <c r="D135" s="4" t="s">
        <v>23</v>
      </c>
      <c r="E135" s="4" t="s">
        <v>17</v>
      </c>
      <c r="F135" s="4">
        <v>17</v>
      </c>
      <c r="G135" s="4">
        <v>45</v>
      </c>
      <c r="H135" s="8">
        <v>0.2543071218872075</v>
      </c>
      <c r="I135" s="4" t="s">
        <v>214</v>
      </c>
      <c r="J135" s="8">
        <v>0.7456928781127925</v>
      </c>
      <c r="K135" s="4" t="s">
        <v>215</v>
      </c>
      <c r="L135" s="4" t="s">
        <v>17</v>
      </c>
      <c r="M135" s="4" t="s">
        <v>17</v>
      </c>
      <c r="N135" s="4">
        <v>1</v>
      </c>
      <c r="O135" s="15">
        <v>16.828829019756881</v>
      </c>
      <c r="P135" s="15">
        <v>26.52248276866775</v>
      </c>
      <c r="Q135" s="4">
        <v>-9.5</v>
      </c>
      <c r="R135" s="15">
        <v>-9.6936537489108652</v>
      </c>
      <c r="S135" s="4" t="s">
        <v>138</v>
      </c>
      <c r="T135" s="4">
        <v>-28</v>
      </c>
      <c r="U135" s="4" t="s">
        <v>138</v>
      </c>
      <c r="V135" s="4">
        <v>1</v>
      </c>
      <c r="W135" s="4">
        <v>49.5</v>
      </c>
      <c r="X135" s="9">
        <v>43.351311788424617</v>
      </c>
      <c r="Y135" s="4" t="s">
        <v>141</v>
      </c>
      <c r="Z135" s="4">
        <v>62</v>
      </c>
      <c r="AA135" s="4" t="s">
        <v>140</v>
      </c>
      <c r="AB135" s="4">
        <v>0</v>
      </c>
      <c r="AC135" s="5">
        <v>-7.8832572506320087E-2</v>
      </c>
      <c r="AD135" s="5">
        <v>-0.43546619699962102</v>
      </c>
      <c r="AE135" s="5">
        <v>-2.7752737845143961E-2</v>
      </c>
      <c r="AF135" s="5">
        <v>0.43546619699962102</v>
      </c>
      <c r="AG135" s="5">
        <v>7.8832572506320087E-2</v>
      </c>
      <c r="AH135" s="5">
        <v>2.7752737845143961E-2</v>
      </c>
    </row>
    <row r="136" spans="2:34" x14ac:dyDescent="0.2">
      <c r="B136" s="4">
        <v>2025</v>
      </c>
      <c r="C136" s="4">
        <v>14</v>
      </c>
      <c r="D136" s="4" t="s">
        <v>40</v>
      </c>
      <c r="E136" s="4" t="s">
        <v>53</v>
      </c>
      <c r="F136" s="4">
        <v>28</v>
      </c>
      <c r="G136" s="4">
        <v>21</v>
      </c>
      <c r="H136" s="8">
        <v>0.61412239240691768</v>
      </c>
      <c r="I136" s="4" t="s">
        <v>216</v>
      </c>
      <c r="J136" s="8">
        <v>0.38587760759308232</v>
      </c>
      <c r="K136" s="4" t="s">
        <v>217</v>
      </c>
      <c r="L136" s="4" t="s">
        <v>40</v>
      </c>
      <c r="M136" s="4" t="s">
        <v>40</v>
      </c>
      <c r="N136" s="4">
        <v>1</v>
      </c>
      <c r="O136" s="15">
        <v>24.651050080501729</v>
      </c>
      <c r="P136" s="15">
        <v>21.08481265992522</v>
      </c>
      <c r="Q136" s="4">
        <v>6.5</v>
      </c>
      <c r="R136" s="9">
        <v>3.5662374205765102</v>
      </c>
      <c r="S136" s="4" t="s">
        <v>138</v>
      </c>
      <c r="T136" s="4">
        <v>7</v>
      </c>
      <c r="U136" s="4" t="s">
        <v>139</v>
      </c>
      <c r="V136" s="4">
        <v>0</v>
      </c>
      <c r="W136" s="4">
        <v>44.5</v>
      </c>
      <c r="X136" s="9">
        <v>45.735862740426953</v>
      </c>
      <c r="Y136" s="4" t="s">
        <v>140</v>
      </c>
      <c r="Z136" s="4">
        <v>49</v>
      </c>
      <c r="AA136" s="4" t="s">
        <v>140</v>
      </c>
      <c r="AB136" s="4">
        <v>1</v>
      </c>
      <c r="AC136" s="5">
        <v>0.20429644217857951</v>
      </c>
      <c r="AD136" s="5">
        <v>-7.2044268898341965E-2</v>
      </c>
      <c r="AE136" s="5">
        <v>-3.9545507431030268E-2</v>
      </c>
      <c r="AF136" s="5">
        <v>7.2044268898341965E-2</v>
      </c>
      <c r="AG136" s="5">
        <v>-0.20429644217857951</v>
      </c>
      <c r="AH136" s="5">
        <v>3.9545507431030268E-2</v>
      </c>
    </row>
    <row r="137" spans="2:34" x14ac:dyDescent="0.2">
      <c r="B137" s="4">
        <v>2025</v>
      </c>
      <c r="C137" s="4">
        <v>14</v>
      </c>
      <c r="D137" s="4" t="s">
        <v>46</v>
      </c>
      <c r="E137" s="4" t="s">
        <v>85</v>
      </c>
      <c r="F137" s="4">
        <v>10</v>
      </c>
      <c r="G137" s="4">
        <v>20</v>
      </c>
      <c r="H137" s="8">
        <v>0.58521779221591275</v>
      </c>
      <c r="I137" s="4" t="s">
        <v>218</v>
      </c>
      <c r="J137" s="8">
        <v>0.41478220778408731</v>
      </c>
      <c r="K137" s="4" t="s">
        <v>219</v>
      </c>
      <c r="L137" s="4" t="s">
        <v>46</v>
      </c>
      <c r="M137" s="4" t="s">
        <v>85</v>
      </c>
      <c r="N137" s="4">
        <v>0</v>
      </c>
      <c r="O137" s="15">
        <v>24.503425116822331</v>
      </c>
      <c r="P137" s="15">
        <v>21.018607733612999</v>
      </c>
      <c r="Q137" s="4">
        <v>4.5</v>
      </c>
      <c r="R137" s="9">
        <v>3.484817383209339</v>
      </c>
      <c r="S137" s="4" t="s">
        <v>138</v>
      </c>
      <c r="T137" s="4">
        <v>-10</v>
      </c>
      <c r="U137" s="4" t="s">
        <v>138</v>
      </c>
      <c r="V137" s="4">
        <v>1</v>
      </c>
      <c r="W137" s="4">
        <v>41.5</v>
      </c>
      <c r="X137" s="9">
        <v>45.52203285043533</v>
      </c>
      <c r="Y137" s="4" t="s">
        <v>140</v>
      </c>
      <c r="Z137" s="4">
        <v>30</v>
      </c>
      <c r="AA137" s="4" t="s">
        <v>141</v>
      </c>
      <c r="AB137" s="4">
        <v>0</v>
      </c>
      <c r="AC137" s="5">
        <v>-0.29289536249069942</v>
      </c>
      <c r="AD137" s="5">
        <v>6.7336961201259066E-2</v>
      </c>
      <c r="AE137" s="5">
        <v>-1.6681918391474971E-2</v>
      </c>
      <c r="AF137" s="5">
        <v>-6.7336961201259066E-2</v>
      </c>
      <c r="AG137" s="5">
        <v>0.29289536249069942</v>
      </c>
      <c r="AH137" s="5">
        <v>1.6681918391474971E-2</v>
      </c>
    </row>
    <row r="138" spans="2:34" x14ac:dyDescent="0.2">
      <c r="B138" s="4">
        <v>2025</v>
      </c>
      <c r="C138" s="4">
        <v>14</v>
      </c>
      <c r="D138" s="4" t="s">
        <v>29</v>
      </c>
      <c r="E138" s="4" t="s">
        <v>11</v>
      </c>
      <c r="F138" s="4">
        <v>22</v>
      </c>
      <c r="G138" s="4">
        <v>19</v>
      </c>
      <c r="H138" s="8">
        <v>0.52226003132554621</v>
      </c>
      <c r="I138" s="4" t="s">
        <v>209</v>
      </c>
      <c r="J138" s="8">
        <v>0.47773996867445379</v>
      </c>
      <c r="K138" s="4" t="s">
        <v>208</v>
      </c>
      <c r="L138" s="4" t="s">
        <v>29</v>
      </c>
      <c r="M138" s="4" t="s">
        <v>29</v>
      </c>
      <c r="N138" s="4">
        <v>1</v>
      </c>
      <c r="O138" s="9">
        <v>23.7279398523062</v>
      </c>
      <c r="P138" s="15">
        <v>21.418776422921539</v>
      </c>
      <c r="Q138" s="4">
        <v>-1.5</v>
      </c>
      <c r="R138" s="9">
        <v>2.3091634293846681</v>
      </c>
      <c r="S138" s="4" t="s">
        <v>139</v>
      </c>
      <c r="T138" s="4">
        <v>3</v>
      </c>
      <c r="U138" s="4" t="s">
        <v>139</v>
      </c>
      <c r="V138" s="4">
        <v>1</v>
      </c>
      <c r="W138" s="4">
        <v>41.5</v>
      </c>
      <c r="X138" s="9">
        <v>45.146716275227739</v>
      </c>
      <c r="Y138" s="4" t="s">
        <v>140</v>
      </c>
      <c r="Z138" s="4">
        <v>41</v>
      </c>
      <c r="AA138" s="4" t="s">
        <v>141</v>
      </c>
      <c r="AB138" s="4">
        <v>0</v>
      </c>
      <c r="AC138" s="5">
        <v>-0.24720269280510981</v>
      </c>
      <c r="AD138" s="5">
        <v>0.27643983023507263</v>
      </c>
      <c r="AE138" s="5">
        <v>6.8867346819709331E-3</v>
      </c>
      <c r="AF138" s="5">
        <v>-0.27643983023507263</v>
      </c>
      <c r="AG138" s="5">
        <v>0.24720269280510981</v>
      </c>
      <c r="AH138" s="5">
        <v>-6.8867346819709331E-3</v>
      </c>
    </row>
    <row r="139" spans="2:34" x14ac:dyDescent="0.2">
      <c r="B139" s="4">
        <v>2025</v>
      </c>
      <c r="C139" s="4">
        <v>15</v>
      </c>
      <c r="D139" s="4" t="s">
        <v>43</v>
      </c>
      <c r="E139" s="4" t="s">
        <v>49</v>
      </c>
      <c r="F139" s="4">
        <v>28</v>
      </c>
      <c r="G139" s="4">
        <v>29</v>
      </c>
      <c r="H139" s="8">
        <v>0.55311107736891651</v>
      </c>
      <c r="I139" s="4">
        <v>-123</v>
      </c>
      <c r="J139" s="8">
        <v>0.44688892263108349</v>
      </c>
      <c r="K139" s="4">
        <v>123</v>
      </c>
      <c r="L139" s="4" t="s">
        <v>43</v>
      </c>
      <c r="M139" s="4" t="s">
        <v>49</v>
      </c>
      <c r="N139" s="4">
        <v>0</v>
      </c>
      <c r="O139" s="15">
        <v>23.43704823660822</v>
      </c>
      <c r="P139" s="15">
        <v>20.275458358410571</v>
      </c>
      <c r="Q139" s="4">
        <v>4.5</v>
      </c>
      <c r="R139" s="15">
        <v>3.161589878197645</v>
      </c>
      <c r="S139" s="4" t="s">
        <v>138</v>
      </c>
      <c r="T139" s="4">
        <v>-1</v>
      </c>
      <c r="U139" s="4" t="s">
        <v>138</v>
      </c>
      <c r="V139" s="4">
        <v>1</v>
      </c>
      <c r="W139" s="4">
        <v>43.5</v>
      </c>
      <c r="X139" s="9">
        <v>43.712506595018787</v>
      </c>
      <c r="Y139" s="4" t="s">
        <v>140</v>
      </c>
      <c r="Z139" s="4">
        <v>57</v>
      </c>
      <c r="AA139" s="4" t="s">
        <v>140</v>
      </c>
      <c r="AB139" s="4">
        <v>1</v>
      </c>
      <c r="AC139" s="5">
        <v>0.1317733175614301</v>
      </c>
      <c r="AD139" s="5">
        <v>-0.2193315278238325</v>
      </c>
      <c r="AE139" s="5">
        <v>0.1114644748823983</v>
      </c>
      <c r="AF139" s="5">
        <v>0.2193315278238325</v>
      </c>
      <c r="AG139" s="5">
        <v>-0.1317733175614301</v>
      </c>
      <c r="AH139" s="5">
        <v>-0.1114644748823983</v>
      </c>
    </row>
    <row r="140" spans="2:34" x14ac:dyDescent="0.2">
      <c r="B140" s="4">
        <v>2025</v>
      </c>
      <c r="C140" s="4">
        <v>15</v>
      </c>
      <c r="D140" s="4" t="s">
        <v>53</v>
      </c>
      <c r="E140" s="4" t="s">
        <v>35</v>
      </c>
      <c r="F140" s="4">
        <v>31</v>
      </c>
      <c r="G140" s="4">
        <v>3</v>
      </c>
      <c r="H140" s="8">
        <v>0.7379495008536272</v>
      </c>
      <c r="I140" s="4">
        <v>-281</v>
      </c>
      <c r="J140" s="8">
        <v>0.2620504991463728</v>
      </c>
      <c r="K140" s="4">
        <v>281</v>
      </c>
      <c r="L140" s="4" t="s">
        <v>53</v>
      </c>
      <c r="M140" s="4" t="s">
        <v>53</v>
      </c>
      <c r="N140" s="4">
        <v>1</v>
      </c>
      <c r="O140" s="15">
        <v>26.281883545499731</v>
      </c>
      <c r="P140" s="15">
        <v>16.895162011024251</v>
      </c>
      <c r="Q140" s="4">
        <v>7.5</v>
      </c>
      <c r="R140" s="15">
        <v>9.3867215344754804</v>
      </c>
      <c r="S140" s="4" t="s">
        <v>139</v>
      </c>
      <c r="T140" s="4">
        <v>28</v>
      </c>
      <c r="U140" s="4" t="s">
        <v>139</v>
      </c>
      <c r="V140" s="4">
        <v>1</v>
      </c>
      <c r="W140" s="4">
        <v>39.5</v>
      </c>
      <c r="X140" s="9">
        <v>43.177045556523993</v>
      </c>
      <c r="Y140" s="4" t="s">
        <v>140</v>
      </c>
      <c r="Z140" s="4">
        <v>34</v>
      </c>
      <c r="AA140" s="4" t="s">
        <v>141</v>
      </c>
      <c r="AB140" s="4">
        <v>0</v>
      </c>
      <c r="AC140" s="5">
        <v>5.5679310451854362E-2</v>
      </c>
      <c r="AD140" s="5">
        <v>0.46604476656232557</v>
      </c>
      <c r="AE140" s="5">
        <v>3.8387454473055332E-2</v>
      </c>
      <c r="AF140" s="5">
        <v>-0.46604476656232557</v>
      </c>
      <c r="AG140" s="5">
        <v>-5.5679310451854362E-2</v>
      </c>
      <c r="AH140" s="5">
        <v>-3.8387454473055332E-2</v>
      </c>
    </row>
    <row r="141" spans="2:34" x14ac:dyDescent="0.2">
      <c r="B141" s="4">
        <v>2025</v>
      </c>
      <c r="C141" s="4">
        <v>15</v>
      </c>
      <c r="D141" s="4" t="s">
        <v>41</v>
      </c>
      <c r="E141" s="4" t="s">
        <v>16</v>
      </c>
      <c r="F141" s="4">
        <v>0</v>
      </c>
      <c r="G141" s="4">
        <v>24</v>
      </c>
      <c r="H141" s="8">
        <v>0.49854539536194609</v>
      </c>
      <c r="I141" s="4">
        <v>100</v>
      </c>
      <c r="J141" s="8">
        <v>0.50145460463805391</v>
      </c>
      <c r="K141" s="4">
        <v>-100</v>
      </c>
      <c r="L141" s="4" t="s">
        <v>16</v>
      </c>
      <c r="M141" s="4" t="s">
        <v>16</v>
      </c>
      <c r="N141" s="4">
        <v>1</v>
      </c>
      <c r="O141" s="15">
        <v>19.543828147685989</v>
      </c>
      <c r="P141" s="15">
        <v>25.629978778733761</v>
      </c>
      <c r="Q141" s="4">
        <v>-2.5</v>
      </c>
      <c r="R141" s="9">
        <v>-6.0861506310477722</v>
      </c>
      <c r="S141" s="4" t="s">
        <v>138</v>
      </c>
      <c r="T141" s="4">
        <v>-24</v>
      </c>
      <c r="U141" s="4" t="s">
        <v>138</v>
      </c>
      <c r="V141" s="4">
        <v>1</v>
      </c>
      <c r="W141" s="4">
        <v>52.5</v>
      </c>
      <c r="X141" s="9">
        <v>45.173806926419743</v>
      </c>
      <c r="Y141" s="4" t="s">
        <v>141</v>
      </c>
      <c r="Z141" s="4">
        <v>24</v>
      </c>
      <c r="AA141" s="4" t="s">
        <v>141</v>
      </c>
      <c r="AB141" s="4">
        <v>1</v>
      </c>
      <c r="AC141" s="5">
        <v>-0.31780488867508738</v>
      </c>
      <c r="AD141" s="5">
        <v>-0.20007620359721939</v>
      </c>
      <c r="AE141" s="5">
        <v>-5.1181500448900109E-2</v>
      </c>
      <c r="AF141" s="5">
        <v>0.20007620359721939</v>
      </c>
      <c r="AG141" s="5">
        <v>0.31780488867508738</v>
      </c>
      <c r="AH141" s="5">
        <v>5.1181500448900109E-2</v>
      </c>
    </row>
    <row r="142" spans="2:34" x14ac:dyDescent="0.2">
      <c r="B142" s="4">
        <v>2025</v>
      </c>
      <c r="C142" s="4">
        <v>15</v>
      </c>
      <c r="D142" s="4" t="s">
        <v>85</v>
      </c>
      <c r="E142" s="4" t="s">
        <v>23</v>
      </c>
      <c r="F142" s="4">
        <v>40</v>
      </c>
      <c r="G142" s="4">
        <v>20</v>
      </c>
      <c r="H142" s="8">
        <v>0.6759915607053375</v>
      </c>
      <c r="I142" s="4">
        <v>-208</v>
      </c>
      <c r="J142" s="8">
        <v>0.3240084392946625</v>
      </c>
      <c r="K142" s="4">
        <v>208</v>
      </c>
      <c r="L142" s="4" t="s">
        <v>85</v>
      </c>
      <c r="M142" s="4" t="s">
        <v>85</v>
      </c>
      <c r="N142" s="4">
        <v>1</v>
      </c>
      <c r="O142" s="15">
        <v>25.86818038659403</v>
      </c>
      <c r="P142" s="15">
        <v>16.553565513587881</v>
      </c>
      <c r="Q142" s="4">
        <v>9.5</v>
      </c>
      <c r="R142" s="9">
        <v>9.3146148730061533</v>
      </c>
      <c r="S142" s="4" t="s">
        <v>138</v>
      </c>
      <c r="T142" s="4">
        <v>20</v>
      </c>
      <c r="U142" s="4" t="s">
        <v>139</v>
      </c>
      <c r="V142" s="4">
        <v>0</v>
      </c>
      <c r="W142" s="4">
        <v>42.5</v>
      </c>
      <c r="X142" s="9">
        <v>42.421745900181918</v>
      </c>
      <c r="Y142" s="4" t="s">
        <v>141</v>
      </c>
      <c r="Z142" s="4">
        <v>60</v>
      </c>
      <c r="AA142" s="4" t="s">
        <v>140</v>
      </c>
      <c r="AB142" s="4">
        <v>0</v>
      </c>
      <c r="AC142" s="5">
        <v>0.22322595119476321</v>
      </c>
      <c r="AD142" s="5">
        <v>-5.1856294045081512E-2</v>
      </c>
      <c r="AE142" s="5">
        <v>0.43710761234678069</v>
      </c>
      <c r="AF142" s="5">
        <v>5.1856294045081512E-2</v>
      </c>
      <c r="AG142" s="5">
        <v>-0.22322595119476321</v>
      </c>
      <c r="AH142" s="5">
        <v>-0.43710761234678069</v>
      </c>
    </row>
    <row r="143" spans="2:34" x14ac:dyDescent="0.2">
      <c r="B143" s="4">
        <v>2025</v>
      </c>
      <c r="C143" s="4">
        <v>15</v>
      </c>
      <c r="D143" s="4" t="s">
        <v>25</v>
      </c>
      <c r="E143" s="4" t="s">
        <v>13</v>
      </c>
      <c r="F143" s="4">
        <v>48</v>
      </c>
      <c r="G143" s="4">
        <v>20</v>
      </c>
      <c r="H143" s="8">
        <v>0.72977689201558893</v>
      </c>
      <c r="I143" s="4">
        <v>-270</v>
      </c>
      <c r="J143" s="8">
        <v>0.27022310798441113</v>
      </c>
      <c r="K143" s="4">
        <v>270</v>
      </c>
      <c r="L143" s="4" t="s">
        <v>25</v>
      </c>
      <c r="M143" s="4" t="s">
        <v>25</v>
      </c>
      <c r="N143" s="4">
        <v>1</v>
      </c>
      <c r="O143" s="15">
        <v>26.285730689686201</v>
      </c>
      <c r="P143" s="15">
        <v>16.475169081439521</v>
      </c>
      <c r="Q143" s="4">
        <v>13.5</v>
      </c>
      <c r="R143" s="9">
        <v>9.8105616082466796</v>
      </c>
      <c r="S143" s="4" t="s">
        <v>138</v>
      </c>
      <c r="T143" s="4">
        <v>28</v>
      </c>
      <c r="U143" s="4" t="s">
        <v>139</v>
      </c>
      <c r="V143" s="4">
        <v>0</v>
      </c>
      <c r="W143" s="4">
        <v>41.5</v>
      </c>
      <c r="X143" s="9">
        <v>42.760899771125708</v>
      </c>
      <c r="Y143" s="4" t="s">
        <v>140</v>
      </c>
      <c r="Z143" s="4">
        <v>68</v>
      </c>
      <c r="AA143" s="4" t="s">
        <v>140</v>
      </c>
      <c r="AB143" s="4">
        <v>1</v>
      </c>
      <c r="AC143" s="5">
        <v>0.31214617066464179</v>
      </c>
      <c r="AD143" s="5">
        <v>0.15684513484730439</v>
      </c>
      <c r="AE143" s="5">
        <v>8.5648218790690105E-3</v>
      </c>
      <c r="AF143" s="5">
        <v>-0.15684513484730439</v>
      </c>
      <c r="AG143" s="5">
        <v>-0.31214617066464179</v>
      </c>
      <c r="AH143" s="5">
        <v>-8.5648218790690105E-3</v>
      </c>
    </row>
    <row r="144" spans="2:34" x14ac:dyDescent="0.2">
      <c r="B144" s="4">
        <v>2025</v>
      </c>
      <c r="C144" s="4">
        <v>15</v>
      </c>
      <c r="D144" s="4" t="s">
        <v>46</v>
      </c>
      <c r="E144" s="4" t="s">
        <v>29</v>
      </c>
      <c r="F144" s="4">
        <v>13</v>
      </c>
      <c r="G144" s="4">
        <v>16</v>
      </c>
      <c r="H144" s="8">
        <v>0.51386550246563023</v>
      </c>
      <c r="I144" s="4">
        <v>-105</v>
      </c>
      <c r="J144" s="8">
        <v>0.48613449753436982</v>
      </c>
      <c r="K144" s="4">
        <v>105</v>
      </c>
      <c r="L144" s="4" t="s">
        <v>46</v>
      </c>
      <c r="M144" s="4" t="s">
        <v>29</v>
      </c>
      <c r="N144" s="4">
        <v>0</v>
      </c>
      <c r="O144" s="15">
        <v>21.747223428365839</v>
      </c>
      <c r="P144" s="15">
        <v>25.16930628181456</v>
      </c>
      <c r="Q144" s="4">
        <v>4.5</v>
      </c>
      <c r="R144" s="15">
        <v>-3.4220828534487211</v>
      </c>
      <c r="S144" s="4" t="s">
        <v>138</v>
      </c>
      <c r="T144" s="4">
        <v>-3</v>
      </c>
      <c r="U144" s="4" t="s">
        <v>138</v>
      </c>
      <c r="V144" s="4">
        <v>1</v>
      </c>
      <c r="W144" s="4">
        <v>41.5</v>
      </c>
      <c r="X144" s="9">
        <v>46.916529710180392</v>
      </c>
      <c r="Y144" s="4" t="s">
        <v>140</v>
      </c>
      <c r="Z144" s="4">
        <v>29</v>
      </c>
      <c r="AA144" s="4" t="s">
        <v>141</v>
      </c>
      <c r="AB144" s="4">
        <v>0</v>
      </c>
      <c r="AC144" s="5">
        <v>-0.1133985441239154</v>
      </c>
      <c r="AD144" s="5">
        <v>1.000016836019663E-2</v>
      </c>
      <c r="AE144" s="5">
        <v>4.7639032204945878E-2</v>
      </c>
      <c r="AF144" s="5">
        <v>-1.000016836019663E-2</v>
      </c>
      <c r="AG144" s="5">
        <v>0.1133985441239154</v>
      </c>
      <c r="AH144" s="5">
        <v>-4.7639032204945878E-2</v>
      </c>
    </row>
    <row r="145" spans="2:34" x14ac:dyDescent="0.2">
      <c r="B145" s="4">
        <v>2025</v>
      </c>
      <c r="C145" s="4">
        <v>15</v>
      </c>
      <c r="D145" s="4" t="s">
        <v>32</v>
      </c>
      <c r="E145" s="4" t="s">
        <v>50</v>
      </c>
      <c r="F145" s="4">
        <v>31</v>
      </c>
      <c r="G145" s="4">
        <v>35</v>
      </c>
      <c r="H145" s="8">
        <v>0.54182075644723904</v>
      </c>
      <c r="I145" s="4">
        <v>-118</v>
      </c>
      <c r="J145" s="8">
        <v>0.45817924355276102</v>
      </c>
      <c r="K145" s="4">
        <v>118</v>
      </c>
      <c r="L145" s="4" t="s">
        <v>32</v>
      </c>
      <c r="M145" s="4" t="s">
        <v>50</v>
      </c>
      <c r="N145" s="4">
        <v>0</v>
      </c>
      <c r="O145" s="15">
        <v>25.39383005978841</v>
      </c>
      <c r="P145" s="15">
        <v>22.897335356714201</v>
      </c>
      <c r="Q145" s="4">
        <v>-1.5</v>
      </c>
      <c r="R145" s="9">
        <v>2.4964947030742048</v>
      </c>
      <c r="S145" s="4" t="s">
        <v>139</v>
      </c>
      <c r="T145" s="4">
        <v>-4</v>
      </c>
      <c r="U145" s="4" t="s">
        <v>138</v>
      </c>
      <c r="V145" s="4">
        <v>0</v>
      </c>
      <c r="W145" s="4">
        <v>50.5</v>
      </c>
      <c r="X145" s="9">
        <v>48.291165416502608</v>
      </c>
      <c r="Y145" s="4" t="s">
        <v>141</v>
      </c>
      <c r="Z145" s="4">
        <v>66</v>
      </c>
      <c r="AA145" s="4" t="s">
        <v>140</v>
      </c>
      <c r="AB145" s="4">
        <v>0</v>
      </c>
      <c r="AC145" s="5">
        <v>0.2300455020024226</v>
      </c>
      <c r="AD145" s="5">
        <v>-0.27603377157182829</v>
      </c>
      <c r="AE145" s="5">
        <v>-0.13226565292903361</v>
      </c>
      <c r="AF145" s="5">
        <v>0.27603377157182829</v>
      </c>
      <c r="AG145" s="5">
        <v>-0.2300455020024226</v>
      </c>
      <c r="AH145" s="5">
        <v>0.13226565292903361</v>
      </c>
    </row>
    <row r="146" spans="2:34" x14ac:dyDescent="0.2">
      <c r="B146" s="4">
        <v>2025</v>
      </c>
      <c r="C146" s="4">
        <v>15</v>
      </c>
      <c r="D146" s="4" t="s">
        <v>10</v>
      </c>
      <c r="E146" s="4" t="s">
        <v>52</v>
      </c>
      <c r="F146" s="4">
        <v>21</v>
      </c>
      <c r="G146" s="4">
        <v>29</v>
      </c>
      <c r="H146" s="8">
        <v>0.57741471893306551</v>
      </c>
      <c r="I146" s="4">
        <v>-136</v>
      </c>
      <c r="J146" s="8">
        <v>0.42258528106693449</v>
      </c>
      <c r="K146" s="4">
        <v>136</v>
      </c>
      <c r="L146" s="4" t="s">
        <v>10</v>
      </c>
      <c r="M146" s="4" t="s">
        <v>52</v>
      </c>
      <c r="N146" s="4">
        <v>0</v>
      </c>
      <c r="O146" s="15">
        <v>23.975062571943312</v>
      </c>
      <c r="P146" s="15">
        <v>22.258502332493009</v>
      </c>
      <c r="Q146" s="4">
        <v>2.5</v>
      </c>
      <c r="R146" s="15">
        <v>1.716560239450295</v>
      </c>
      <c r="S146" s="4" t="s">
        <v>138</v>
      </c>
      <c r="T146" s="4">
        <v>-8</v>
      </c>
      <c r="U146" s="4" t="s">
        <v>138</v>
      </c>
      <c r="V146" s="4">
        <v>1</v>
      </c>
      <c r="W146" s="4">
        <v>47.5</v>
      </c>
      <c r="X146" s="9">
        <v>46.233564904436321</v>
      </c>
      <c r="Y146" s="4" t="s">
        <v>141</v>
      </c>
      <c r="Z146" s="4">
        <v>50</v>
      </c>
      <c r="AA146" s="4" t="s">
        <v>140</v>
      </c>
      <c r="AB146" s="4">
        <v>0</v>
      </c>
      <c r="AC146" s="5">
        <v>3.8744337418500113E-2</v>
      </c>
      <c r="AD146" s="5">
        <v>6.4041614532470703E-3</v>
      </c>
      <c r="AE146" s="5">
        <v>-0.51649937341953145</v>
      </c>
      <c r="AF146" s="5">
        <v>-6.4041614532470703E-3</v>
      </c>
      <c r="AG146" s="5">
        <v>-3.8744337418500113E-2</v>
      </c>
      <c r="AH146" s="5">
        <v>0.51649937341953145</v>
      </c>
    </row>
    <row r="147" spans="2:34" x14ac:dyDescent="0.2">
      <c r="B147" s="4">
        <v>2025</v>
      </c>
      <c r="C147" s="4">
        <v>15</v>
      </c>
      <c r="D147" s="4" t="s">
        <v>11</v>
      </c>
      <c r="E147" s="4" t="s">
        <v>37</v>
      </c>
      <c r="F147" s="4">
        <v>31</v>
      </c>
      <c r="G147" s="4">
        <v>0</v>
      </c>
      <c r="H147" s="8">
        <v>0.72040986504828619</v>
      </c>
      <c r="I147" s="4">
        <v>-257</v>
      </c>
      <c r="J147" s="8">
        <v>0.27959013495171381</v>
      </c>
      <c r="K147" s="4">
        <v>257</v>
      </c>
      <c r="L147" s="4" t="s">
        <v>11</v>
      </c>
      <c r="M147" s="4" t="s">
        <v>11</v>
      </c>
      <c r="N147" s="4">
        <v>1</v>
      </c>
      <c r="O147" s="15">
        <v>22.774364550091789</v>
      </c>
      <c r="P147" s="15">
        <v>16.30674468620445</v>
      </c>
      <c r="Q147" s="4">
        <v>11.5</v>
      </c>
      <c r="R147" s="9">
        <v>6.4676198638873386</v>
      </c>
      <c r="S147" s="4" t="s">
        <v>138</v>
      </c>
      <c r="T147" s="4">
        <v>31</v>
      </c>
      <c r="U147" s="4" t="s">
        <v>139</v>
      </c>
      <c r="V147" s="4">
        <v>0</v>
      </c>
      <c r="W147" s="4">
        <v>38.5</v>
      </c>
      <c r="X147" s="9">
        <v>39.081109236296228</v>
      </c>
      <c r="Y147" s="4" t="s">
        <v>140</v>
      </c>
      <c r="Z147" s="4">
        <v>31</v>
      </c>
      <c r="AA147" s="4" t="s">
        <v>141</v>
      </c>
      <c r="AB147" s="4">
        <v>0</v>
      </c>
      <c r="AC147" s="5">
        <v>0.27447755785955902</v>
      </c>
      <c r="AD147" s="5">
        <v>0.41019966488792781</v>
      </c>
      <c r="AE147" s="5">
        <v>-6.5953307681613504E-2</v>
      </c>
      <c r="AF147" s="5">
        <v>-0.41019966488792781</v>
      </c>
      <c r="AG147" s="5">
        <v>-0.27447755785955902</v>
      </c>
      <c r="AH147" s="5">
        <v>6.5953307681613504E-2</v>
      </c>
    </row>
    <row r="148" spans="2:34" x14ac:dyDescent="0.2">
      <c r="B148" s="4">
        <v>2025</v>
      </c>
      <c r="C148" s="4">
        <v>15</v>
      </c>
      <c r="D148" s="4" t="s">
        <v>14</v>
      </c>
      <c r="E148" s="4" t="s">
        <v>40</v>
      </c>
      <c r="F148" s="4">
        <v>34</v>
      </c>
      <c r="G148" s="4">
        <v>26</v>
      </c>
      <c r="H148" s="8">
        <v>0.43988287428103162</v>
      </c>
      <c r="I148" s="4">
        <v>127</v>
      </c>
      <c r="J148" s="8">
        <v>0.56011712571896843</v>
      </c>
      <c r="K148" s="4">
        <v>-127</v>
      </c>
      <c r="L148" s="4" t="s">
        <v>40</v>
      </c>
      <c r="M148" s="4" t="s">
        <v>14</v>
      </c>
      <c r="N148" s="4">
        <v>0</v>
      </c>
      <c r="O148" s="15">
        <v>23.839145609454121</v>
      </c>
      <c r="P148" s="15">
        <v>23.600464291307691</v>
      </c>
      <c r="Q148" s="4">
        <v>-2.5</v>
      </c>
      <c r="R148" s="9">
        <v>0.23868131814643689</v>
      </c>
      <c r="S148" s="4" t="s">
        <v>139</v>
      </c>
      <c r="T148" s="4">
        <v>8</v>
      </c>
      <c r="U148" s="4" t="s">
        <v>139</v>
      </c>
      <c r="V148" s="4">
        <v>1</v>
      </c>
      <c r="W148" s="4">
        <v>42.5</v>
      </c>
      <c r="X148" s="9">
        <v>47.439609900761809</v>
      </c>
      <c r="Y148" s="4" t="s">
        <v>140</v>
      </c>
      <c r="Z148" s="4">
        <v>60</v>
      </c>
      <c r="AA148" s="4" t="s">
        <v>140</v>
      </c>
      <c r="AB148" s="4">
        <v>1</v>
      </c>
      <c r="AC148" s="5">
        <v>0.18422170785757211</v>
      </c>
      <c r="AD148" s="5">
        <v>-4.5897548848932442E-2</v>
      </c>
      <c r="AE148" s="5">
        <v>-2.9521880326447661E-2</v>
      </c>
      <c r="AF148" s="5">
        <v>4.5897548848932442E-2</v>
      </c>
      <c r="AG148" s="5">
        <v>-0.18422170785757211</v>
      </c>
      <c r="AH148" s="5">
        <v>2.9521880326447661E-2</v>
      </c>
    </row>
    <row r="149" spans="2:34" x14ac:dyDescent="0.2">
      <c r="B149" s="4">
        <v>2025</v>
      </c>
      <c r="C149" s="4">
        <v>15</v>
      </c>
      <c r="D149" s="4" t="s">
        <v>17</v>
      </c>
      <c r="E149" s="4" t="s">
        <v>47</v>
      </c>
      <c r="F149" s="4">
        <v>41</v>
      </c>
      <c r="G149" s="4">
        <v>34</v>
      </c>
      <c r="H149" s="8">
        <v>0.65340354530499767</v>
      </c>
      <c r="I149" s="4">
        <v>-188</v>
      </c>
      <c r="J149" s="8">
        <v>0.34659645469500228</v>
      </c>
      <c r="K149" s="4">
        <v>188</v>
      </c>
      <c r="L149" s="4" t="s">
        <v>17</v>
      </c>
      <c r="M149" s="4" t="s">
        <v>17</v>
      </c>
      <c r="N149" s="4">
        <v>1</v>
      </c>
      <c r="O149" s="15">
        <v>25.5145740038494</v>
      </c>
      <c r="P149" s="15">
        <v>21.29288341932779</v>
      </c>
      <c r="Q149" s="4">
        <v>5.5</v>
      </c>
      <c r="R149" s="15">
        <v>4.2216905845216166</v>
      </c>
      <c r="S149" s="4" t="s">
        <v>138</v>
      </c>
      <c r="T149" s="4">
        <v>7</v>
      </c>
      <c r="U149" s="4" t="s">
        <v>139</v>
      </c>
      <c r="V149" s="4">
        <v>0</v>
      </c>
      <c r="W149" s="4">
        <v>55.5</v>
      </c>
      <c r="X149" s="9">
        <v>46.80745742317719</v>
      </c>
      <c r="Y149" s="4" t="s">
        <v>141</v>
      </c>
      <c r="Z149" s="4">
        <v>75</v>
      </c>
      <c r="AA149" s="4" t="s">
        <v>140</v>
      </c>
      <c r="AB149" s="4">
        <v>0</v>
      </c>
      <c r="AC149" s="5">
        <v>0.20446423689524329</v>
      </c>
      <c r="AD149" s="5">
        <v>-0.18640026450157171</v>
      </c>
      <c r="AE149" s="5">
        <v>8.0822855234146118E-2</v>
      </c>
      <c r="AF149" s="5">
        <v>0.18640026450157171</v>
      </c>
      <c r="AG149" s="5">
        <v>-0.20446423689524329</v>
      </c>
      <c r="AH149" s="5">
        <v>-8.0822855234146118E-2</v>
      </c>
    </row>
    <row r="150" spans="2:34" x14ac:dyDescent="0.2">
      <c r="B150" s="4">
        <v>2025</v>
      </c>
      <c r="C150" s="4">
        <v>15</v>
      </c>
      <c r="D150" s="4" t="s">
        <v>31</v>
      </c>
      <c r="E150" s="4" t="s">
        <v>19</v>
      </c>
      <c r="F150" s="4">
        <v>20</v>
      </c>
      <c r="G150" s="4">
        <v>17</v>
      </c>
      <c r="H150" s="8">
        <v>0.38670585764743137</v>
      </c>
      <c r="I150" s="4">
        <v>158</v>
      </c>
      <c r="J150" s="8">
        <v>0.61329414235256863</v>
      </c>
      <c r="K150" s="4">
        <v>-158</v>
      </c>
      <c r="L150" s="4" t="s">
        <v>19</v>
      </c>
      <c r="M150" s="4" t="s">
        <v>31</v>
      </c>
      <c r="N150" s="4">
        <v>0</v>
      </c>
      <c r="O150" s="15">
        <v>19.979862518048542</v>
      </c>
      <c r="P150" s="15">
        <v>23.449353689463511</v>
      </c>
      <c r="Q150" s="4">
        <v>-2.5</v>
      </c>
      <c r="R150" s="9">
        <v>-3.469491171414973</v>
      </c>
      <c r="S150" s="4" t="s">
        <v>138</v>
      </c>
      <c r="T150" s="4">
        <v>3</v>
      </c>
      <c r="U150" s="4" t="s">
        <v>139</v>
      </c>
      <c r="V150" s="4">
        <v>0</v>
      </c>
      <c r="W150" s="4">
        <v>40.5</v>
      </c>
      <c r="X150" s="9">
        <v>43.429216207512063</v>
      </c>
      <c r="Y150" s="4" t="s">
        <v>140</v>
      </c>
      <c r="Z150" s="4">
        <v>37</v>
      </c>
      <c r="AA150" s="4" t="s">
        <v>141</v>
      </c>
      <c r="AB150" s="4">
        <v>0</v>
      </c>
      <c r="AC150" s="5">
        <v>0.12060855751606959</v>
      </c>
      <c r="AD150" s="5">
        <v>-9.2158878058717961E-2</v>
      </c>
      <c r="AE150" s="5">
        <v>-2.602231502532959E-2</v>
      </c>
      <c r="AF150" s="5">
        <v>9.2158878058717961E-2</v>
      </c>
      <c r="AG150" s="5">
        <v>-0.12060855751606959</v>
      </c>
      <c r="AH150" s="5">
        <v>2.602231502532959E-2</v>
      </c>
    </row>
    <row r="151" spans="2:34" x14ac:dyDescent="0.2">
      <c r="B151" s="4">
        <v>2025</v>
      </c>
      <c r="C151" s="4">
        <v>15</v>
      </c>
      <c r="D151" s="4" t="s">
        <v>26</v>
      </c>
      <c r="E151" s="4" t="s">
        <v>22</v>
      </c>
      <c r="F151" s="4">
        <v>18</v>
      </c>
      <c r="G151" s="4">
        <v>16</v>
      </c>
      <c r="H151" s="8">
        <v>0.61517315708416764</v>
      </c>
      <c r="I151" s="4">
        <v>-159</v>
      </c>
      <c r="J151" s="8">
        <v>0.38482684291583241</v>
      </c>
      <c r="K151" s="4">
        <v>159</v>
      </c>
      <c r="L151" s="4" t="s">
        <v>26</v>
      </c>
      <c r="M151" s="4" t="s">
        <v>26</v>
      </c>
      <c r="N151" s="4">
        <v>1</v>
      </c>
      <c r="O151" s="15">
        <v>26.482532403537771</v>
      </c>
      <c r="P151" s="15">
        <v>20.587491299679471</v>
      </c>
      <c r="Q151" s="4">
        <v>14</v>
      </c>
      <c r="R151" s="9">
        <v>5.8950411038583042</v>
      </c>
      <c r="S151" s="4" t="s">
        <v>138</v>
      </c>
      <c r="T151" s="4">
        <v>2</v>
      </c>
      <c r="U151" s="4" t="s">
        <v>138</v>
      </c>
      <c r="V151" s="4">
        <v>1</v>
      </c>
      <c r="W151" s="4">
        <v>42.5</v>
      </c>
      <c r="X151" s="9">
        <v>47.070023703217252</v>
      </c>
      <c r="Y151" s="4" t="s">
        <v>140</v>
      </c>
      <c r="Z151" s="4">
        <v>34</v>
      </c>
      <c r="AA151" s="4" t="s">
        <v>141</v>
      </c>
      <c r="AB151" s="4">
        <v>0</v>
      </c>
      <c r="AC151" s="5">
        <v>-5.2897453308105469E-2</v>
      </c>
      <c r="AD151" s="5">
        <v>5.0182624657948809E-2</v>
      </c>
      <c r="AE151" s="5">
        <v>-2.289349238077799E-2</v>
      </c>
      <c r="AF151" s="5">
        <v>-5.0182624657948809E-2</v>
      </c>
      <c r="AG151" s="5">
        <v>5.2897453308105469E-2</v>
      </c>
      <c r="AH151" s="5">
        <v>2.289349238077799E-2</v>
      </c>
    </row>
    <row r="152" spans="2:34" x14ac:dyDescent="0.2">
      <c r="B152" s="4">
        <v>2025</v>
      </c>
      <c r="C152" s="4">
        <v>15</v>
      </c>
      <c r="D152" s="4" t="s">
        <v>44</v>
      </c>
      <c r="E152" s="4" t="s">
        <v>38</v>
      </c>
      <c r="F152" s="4">
        <v>37</v>
      </c>
      <c r="G152" s="4">
        <v>24</v>
      </c>
      <c r="H152" s="8">
        <v>0.81195214311802133</v>
      </c>
      <c r="I152" s="4">
        <v>-431</v>
      </c>
      <c r="J152" s="8">
        <v>0.1880478568819787</v>
      </c>
      <c r="K152" s="4">
        <v>431</v>
      </c>
      <c r="L152" s="4" t="s">
        <v>44</v>
      </c>
      <c r="M152" s="4" t="s">
        <v>44</v>
      </c>
      <c r="N152" s="4">
        <v>1</v>
      </c>
      <c r="O152" s="9">
        <v>31.622566271482949</v>
      </c>
      <c r="P152" s="15">
        <v>17.63250567140237</v>
      </c>
      <c r="Q152" s="4">
        <v>12.5</v>
      </c>
      <c r="R152" s="9">
        <v>13.99006060008058</v>
      </c>
      <c r="S152" s="4" t="s">
        <v>139</v>
      </c>
      <c r="T152" s="4">
        <v>13</v>
      </c>
      <c r="U152" s="4" t="s">
        <v>139</v>
      </c>
      <c r="V152" s="4">
        <v>1</v>
      </c>
      <c r="W152" s="4">
        <v>44.5</v>
      </c>
      <c r="X152" s="9">
        <v>49.255071942885323</v>
      </c>
      <c r="Y152" s="4" t="s">
        <v>140</v>
      </c>
      <c r="Z152" s="4">
        <v>61</v>
      </c>
      <c r="AA152" s="4" t="s">
        <v>140</v>
      </c>
      <c r="AB152" s="4">
        <v>1</v>
      </c>
      <c r="AC152" s="5">
        <v>0.24674415588378909</v>
      </c>
      <c r="AD152" s="5">
        <v>-0.166762280014326</v>
      </c>
      <c r="AE152" s="5">
        <v>0.12605456369263779</v>
      </c>
      <c r="AF152" s="5">
        <v>0.166762280014326</v>
      </c>
      <c r="AG152" s="5">
        <v>-0.24674415588378909</v>
      </c>
      <c r="AH152" s="5">
        <v>-0.12605456369263779</v>
      </c>
    </row>
    <row r="153" spans="2:34" x14ac:dyDescent="0.2">
      <c r="B153" s="4">
        <v>2025</v>
      </c>
      <c r="C153" s="4">
        <v>15</v>
      </c>
      <c r="D153" s="4" t="s">
        <v>20</v>
      </c>
      <c r="E153" s="4" t="s">
        <v>77</v>
      </c>
      <c r="F153" s="4">
        <v>26</v>
      </c>
      <c r="G153" s="4">
        <v>34</v>
      </c>
      <c r="H153" s="8">
        <v>0.7043288685541208</v>
      </c>
      <c r="I153" s="4">
        <v>-238</v>
      </c>
      <c r="J153" s="8">
        <v>0.2956711314458792</v>
      </c>
      <c r="K153" s="4">
        <v>238</v>
      </c>
      <c r="L153" s="4" t="s">
        <v>20</v>
      </c>
      <c r="M153" s="4" t="s">
        <v>77</v>
      </c>
      <c r="N153" s="4">
        <v>0</v>
      </c>
      <c r="O153" s="9">
        <v>25.772461126347459</v>
      </c>
      <c r="P153" s="15">
        <v>19.607648842037531</v>
      </c>
      <c r="Q153" s="4">
        <v>5.5</v>
      </c>
      <c r="R153" s="9">
        <v>6.1648122843099351</v>
      </c>
      <c r="S153" s="4" t="s">
        <v>139</v>
      </c>
      <c r="T153" s="4">
        <v>-8</v>
      </c>
      <c r="U153" s="4" t="s">
        <v>138</v>
      </c>
      <c r="V153" s="4">
        <v>0</v>
      </c>
      <c r="W153" s="4">
        <v>47.5</v>
      </c>
      <c r="X153" s="9">
        <v>45.380109968384993</v>
      </c>
      <c r="Y153" s="4" t="s">
        <v>141</v>
      </c>
      <c r="Z153" s="4">
        <v>60</v>
      </c>
      <c r="AA153" s="4" t="s">
        <v>140</v>
      </c>
      <c r="AB153" s="4">
        <v>0</v>
      </c>
      <c r="AC153" s="5">
        <v>0.1033906869485345</v>
      </c>
      <c r="AD153" s="5">
        <v>-0.21643484963311091</v>
      </c>
      <c r="AE153" s="5">
        <v>-0.24118071986782941</v>
      </c>
      <c r="AF153" s="5">
        <v>0.21643484963311091</v>
      </c>
      <c r="AG153" s="5">
        <v>-0.1033906869485345</v>
      </c>
      <c r="AH153" s="5">
        <v>0.24118071986782941</v>
      </c>
    </row>
    <row r="154" spans="2:34" x14ac:dyDescent="0.2">
      <c r="B154" s="4">
        <v>2025</v>
      </c>
      <c r="C154" s="4">
        <v>15</v>
      </c>
      <c r="D154" s="4" t="s">
        <v>34</v>
      </c>
      <c r="E154" s="4" t="s">
        <v>28</v>
      </c>
      <c r="F154" s="4">
        <v>28</v>
      </c>
      <c r="G154" s="4">
        <v>15</v>
      </c>
      <c r="H154" s="8">
        <v>0.48235151259621789</v>
      </c>
      <c r="I154" s="4">
        <v>107</v>
      </c>
      <c r="J154" s="8">
        <v>0.51764848740378211</v>
      </c>
      <c r="K154" s="4">
        <v>-107</v>
      </c>
      <c r="L154" s="4" t="s">
        <v>28</v>
      </c>
      <c r="M154" s="4" t="s">
        <v>34</v>
      </c>
      <c r="N154" s="4">
        <v>0</v>
      </c>
      <c r="O154" s="9">
        <v>23.431135929767429</v>
      </c>
      <c r="P154" s="15">
        <v>23.529503393557441</v>
      </c>
      <c r="Q154" s="4">
        <v>3</v>
      </c>
      <c r="R154" s="9">
        <v>-9.8367463790019372E-2</v>
      </c>
      <c r="S154" s="4" t="s">
        <v>138</v>
      </c>
      <c r="T154" s="4">
        <v>13</v>
      </c>
      <c r="U154" s="4" t="s">
        <v>139</v>
      </c>
      <c r="V154" s="4">
        <v>0</v>
      </c>
      <c r="W154" s="4">
        <v>42.5</v>
      </c>
      <c r="X154" s="9">
        <v>46.96063932332487</v>
      </c>
      <c r="Y154" s="4" t="s">
        <v>140</v>
      </c>
      <c r="Z154" s="4">
        <v>43</v>
      </c>
      <c r="AA154" s="4" t="s">
        <v>140</v>
      </c>
      <c r="AB154" s="4">
        <v>1</v>
      </c>
      <c r="AC154" s="5">
        <v>0.20847795948837741</v>
      </c>
      <c r="AD154" s="5">
        <v>2.4986797943711281E-3</v>
      </c>
      <c r="AE154" s="5">
        <v>-7.7380194664001464E-2</v>
      </c>
      <c r="AF154" s="5">
        <v>-2.4986797943711281E-3</v>
      </c>
      <c r="AG154" s="5">
        <v>-0.20847795948837741</v>
      </c>
      <c r="AH154" s="5">
        <v>7.7380194664001464E-2</v>
      </c>
    </row>
    <row r="155" spans="2:34" x14ac:dyDescent="0.2">
      <c r="B155" s="4">
        <v>2025</v>
      </c>
      <c r="C155" s="4">
        <v>16</v>
      </c>
      <c r="D155" s="4" t="s">
        <v>26</v>
      </c>
      <c r="E155" s="4" t="s">
        <v>17</v>
      </c>
      <c r="F155" s="4">
        <v>38</v>
      </c>
      <c r="G155" s="4">
        <v>37</v>
      </c>
      <c r="H155" s="8">
        <v>0.45677058285211442</v>
      </c>
      <c r="I155" s="4">
        <v>118</v>
      </c>
      <c r="J155" s="8">
        <v>0.54322941714788564</v>
      </c>
      <c r="K155" s="4">
        <v>-118</v>
      </c>
      <c r="L155" s="4" t="s">
        <v>17</v>
      </c>
      <c r="M155" s="4" t="s">
        <v>26</v>
      </c>
      <c r="N155" s="4">
        <v>0</v>
      </c>
      <c r="O155" s="15">
        <v>24.42712587642151</v>
      </c>
      <c r="P155" s="15">
        <v>24.708560713285468</v>
      </c>
      <c r="Q155" s="4">
        <v>1.5</v>
      </c>
      <c r="R155" s="15">
        <v>-0.28143483686396209</v>
      </c>
      <c r="S155" s="4" t="s">
        <v>138</v>
      </c>
      <c r="T155" s="4">
        <v>1</v>
      </c>
      <c r="U155" s="4" t="s">
        <v>138</v>
      </c>
      <c r="V155" s="4">
        <v>1</v>
      </c>
      <c r="W155" s="4">
        <v>42.5</v>
      </c>
      <c r="X155" s="9">
        <v>49.135686589706978</v>
      </c>
      <c r="Y155" s="4" t="s">
        <v>140</v>
      </c>
      <c r="Z155" s="4">
        <v>75</v>
      </c>
      <c r="AA155" s="4" t="s">
        <v>140</v>
      </c>
      <c r="AB155" s="4">
        <v>1</v>
      </c>
      <c r="AC155" s="5">
        <v>-1.42985749989748E-2</v>
      </c>
      <c r="AD155" s="5">
        <v>-0.20208874992702319</v>
      </c>
      <c r="AE155" s="5">
        <v>0.43977342711554629</v>
      </c>
      <c r="AF155" s="5">
        <v>0.20208874992702319</v>
      </c>
      <c r="AG155" s="5">
        <v>1.42985749989748E-2</v>
      </c>
      <c r="AH155" s="5">
        <v>-0.43977342711554629</v>
      </c>
    </row>
    <row r="156" spans="2:34" x14ac:dyDescent="0.2">
      <c r="B156" s="4">
        <v>2025</v>
      </c>
      <c r="C156" s="4">
        <v>16</v>
      </c>
      <c r="D156" s="4" t="s">
        <v>52</v>
      </c>
      <c r="E156" s="4" t="s">
        <v>11</v>
      </c>
      <c r="F156" s="4">
        <v>18</v>
      </c>
      <c r="G156" s="4">
        <v>29</v>
      </c>
      <c r="H156" s="8">
        <v>0.3810037585176117</v>
      </c>
      <c r="I156" s="4">
        <v>162</v>
      </c>
      <c r="J156" s="8">
        <v>0.6189962414823883</v>
      </c>
      <c r="K156" s="4">
        <v>-162</v>
      </c>
      <c r="L156" s="4" t="s">
        <v>11</v>
      </c>
      <c r="M156" s="4" t="s">
        <v>11</v>
      </c>
      <c r="N156" s="4">
        <v>1</v>
      </c>
      <c r="O156" s="15">
        <v>20.38051855290929</v>
      </c>
      <c r="P156" s="15">
        <v>25.95462517993742</v>
      </c>
      <c r="Q156" s="4">
        <v>-6.5</v>
      </c>
      <c r="R156" s="15">
        <v>-5.5741066270281294</v>
      </c>
      <c r="S156" s="4" t="s">
        <v>139</v>
      </c>
      <c r="T156" s="4">
        <v>-11</v>
      </c>
      <c r="U156" s="4" t="s">
        <v>138</v>
      </c>
      <c r="V156" s="4">
        <v>0</v>
      </c>
      <c r="W156" s="4">
        <v>44.5</v>
      </c>
      <c r="X156" s="9">
        <v>46.33514373284671</v>
      </c>
      <c r="Y156" s="4" t="s">
        <v>140</v>
      </c>
      <c r="Z156" s="4">
        <v>47</v>
      </c>
      <c r="AA156" s="4" t="s">
        <v>140</v>
      </c>
      <c r="AB156" s="4">
        <v>1</v>
      </c>
      <c r="AC156" s="5">
        <v>-9.0667981367844805E-2</v>
      </c>
      <c r="AD156" s="5">
        <v>-0.34741071444838789</v>
      </c>
      <c r="AE156" s="5">
        <v>0.39216567993164059</v>
      </c>
      <c r="AF156" s="5">
        <v>0.34741071444838789</v>
      </c>
      <c r="AG156" s="5">
        <v>9.0667981367844805E-2</v>
      </c>
      <c r="AH156" s="5">
        <v>-0.39216567993164059</v>
      </c>
    </row>
    <row r="157" spans="2:34" x14ac:dyDescent="0.2">
      <c r="B157" s="4">
        <v>2025</v>
      </c>
      <c r="C157" s="4">
        <v>16</v>
      </c>
      <c r="D157" s="4" t="s">
        <v>53</v>
      </c>
      <c r="E157" s="4" t="s">
        <v>40</v>
      </c>
      <c r="F157" s="4">
        <v>22</v>
      </c>
      <c r="G157" s="4">
        <v>16</v>
      </c>
      <c r="H157" s="8">
        <v>0.46716785972320179</v>
      </c>
      <c r="I157" s="4">
        <v>114</v>
      </c>
      <c r="J157" s="8">
        <v>0.53283214027679815</v>
      </c>
      <c r="K157" s="4">
        <v>-114</v>
      </c>
      <c r="L157" s="4" t="s">
        <v>40</v>
      </c>
      <c r="M157" s="4" t="s">
        <v>53</v>
      </c>
      <c r="N157" s="4">
        <v>0</v>
      </c>
      <c r="O157" s="15">
        <v>24.27378101370709</v>
      </c>
      <c r="P157" s="15">
        <v>23.759865990496468</v>
      </c>
      <c r="Q157" s="4">
        <v>1.5</v>
      </c>
      <c r="R157" s="9">
        <v>0.51391502321062177</v>
      </c>
      <c r="S157" s="4" t="s">
        <v>138</v>
      </c>
      <c r="T157" s="4">
        <v>6</v>
      </c>
      <c r="U157" s="4" t="s">
        <v>139</v>
      </c>
      <c r="V157" s="4">
        <v>0</v>
      </c>
      <c r="W157" s="4">
        <v>46.5</v>
      </c>
      <c r="X157" s="9">
        <v>48.033647004203573</v>
      </c>
      <c r="Y157" s="4" t="s">
        <v>140</v>
      </c>
      <c r="Z157" s="4">
        <v>38</v>
      </c>
      <c r="AA157" s="4" t="s">
        <v>141</v>
      </c>
      <c r="AB157" s="4">
        <v>0</v>
      </c>
      <c r="AC157" s="5">
        <v>0.1089127063751221</v>
      </c>
      <c r="AD157" s="5">
        <v>-9.5630128043038498E-2</v>
      </c>
      <c r="AE157" s="5">
        <v>0.26111322234977369</v>
      </c>
      <c r="AF157" s="5">
        <v>9.5630128043038498E-2</v>
      </c>
      <c r="AG157" s="5">
        <v>-0.1089127063751221</v>
      </c>
      <c r="AH157" s="5">
        <v>-0.26111322234977369</v>
      </c>
    </row>
    <row r="158" spans="2:34" x14ac:dyDescent="0.2">
      <c r="B158" s="4">
        <v>2025</v>
      </c>
      <c r="C158" s="4">
        <v>16</v>
      </c>
      <c r="D158" s="4" t="s">
        <v>19</v>
      </c>
      <c r="E158" s="4" t="s">
        <v>43</v>
      </c>
      <c r="F158" s="4">
        <v>23</v>
      </c>
      <c r="G158" s="4">
        <v>20</v>
      </c>
      <c r="H158" s="8">
        <v>0.50862761293109249</v>
      </c>
      <c r="I158" s="4">
        <v>-103</v>
      </c>
      <c r="J158" s="8">
        <v>0.49137238706890751</v>
      </c>
      <c r="K158" s="4">
        <v>103</v>
      </c>
      <c r="L158" s="4" t="s">
        <v>19</v>
      </c>
      <c r="M158" s="4" t="s">
        <v>19</v>
      </c>
      <c r="N158" s="4">
        <v>1</v>
      </c>
      <c r="O158" s="15">
        <v>23.518132326291521</v>
      </c>
      <c r="P158" s="15">
        <v>24.246959773348038</v>
      </c>
      <c r="Q158" s="4">
        <v>-3</v>
      </c>
      <c r="R158" s="9">
        <v>-0.72882744705651703</v>
      </c>
      <c r="S158" s="4" t="s">
        <v>139</v>
      </c>
      <c r="T158" s="4">
        <v>3</v>
      </c>
      <c r="U158" s="4" t="s">
        <v>139</v>
      </c>
      <c r="V158" s="4">
        <v>1</v>
      </c>
      <c r="W158" s="4">
        <v>45.5</v>
      </c>
      <c r="X158" s="9">
        <v>47.765092099639567</v>
      </c>
      <c r="Y158" s="4" t="s">
        <v>140</v>
      </c>
      <c r="Z158" s="4">
        <v>43</v>
      </c>
      <c r="AA158" s="4" t="s">
        <v>141</v>
      </c>
      <c r="AB158" s="4">
        <v>0</v>
      </c>
      <c r="AC158" s="5">
        <v>0.100590687877727</v>
      </c>
      <c r="AD158" s="5">
        <v>-7.9181875501360216E-2</v>
      </c>
      <c r="AE158" s="5">
        <v>8.8326802620520964E-2</v>
      </c>
      <c r="AF158" s="5">
        <v>7.9181875501360216E-2</v>
      </c>
      <c r="AG158" s="5">
        <v>-0.100590687877727</v>
      </c>
      <c r="AH158" s="5">
        <v>-8.8326802620520964E-2</v>
      </c>
    </row>
    <row r="159" spans="2:34" x14ac:dyDescent="0.2">
      <c r="B159" s="4">
        <v>2025</v>
      </c>
      <c r="C159" s="4">
        <v>16</v>
      </c>
      <c r="D159" s="4" t="s">
        <v>35</v>
      </c>
      <c r="E159" s="4" t="s">
        <v>50</v>
      </c>
      <c r="F159" s="4">
        <v>20</v>
      </c>
      <c r="G159" s="4">
        <v>23</v>
      </c>
      <c r="H159" s="8">
        <v>0.198285202130948</v>
      </c>
      <c r="I159" s="4">
        <v>404</v>
      </c>
      <c r="J159" s="8">
        <v>0.80171479786905198</v>
      </c>
      <c r="K159" s="4">
        <v>-404</v>
      </c>
      <c r="L159" s="4" t="s">
        <v>50</v>
      </c>
      <c r="M159" s="4" t="s">
        <v>50</v>
      </c>
      <c r="N159" s="4">
        <v>1</v>
      </c>
      <c r="O159" s="15">
        <v>15.14071543153881</v>
      </c>
      <c r="P159" s="15">
        <v>26.403360108958388</v>
      </c>
      <c r="Q159" s="4">
        <v>-10.5</v>
      </c>
      <c r="R159" s="9">
        <v>-11.262644677419569</v>
      </c>
      <c r="S159" s="4" t="s">
        <v>138</v>
      </c>
      <c r="T159" s="4">
        <v>-3</v>
      </c>
      <c r="U159" s="4" t="s">
        <v>139</v>
      </c>
      <c r="V159" s="4">
        <v>0</v>
      </c>
      <c r="W159" s="4">
        <v>41.5</v>
      </c>
      <c r="X159" s="9">
        <v>41.544075540497197</v>
      </c>
      <c r="Y159" s="4" t="s">
        <v>140</v>
      </c>
      <c r="Z159" s="4">
        <v>43</v>
      </c>
      <c r="AA159" s="4" t="s">
        <v>140</v>
      </c>
      <c r="AB159" s="4">
        <v>1</v>
      </c>
      <c r="AC159" s="5">
        <v>-0.1195580069698505</v>
      </c>
      <c r="AD159" s="5">
        <v>-6.0782894492149353E-2</v>
      </c>
      <c r="AE159" s="5">
        <v>0.21042259879734199</v>
      </c>
      <c r="AF159" s="5">
        <v>6.0782894492149353E-2</v>
      </c>
      <c r="AG159" s="5">
        <v>0.1195580069698505</v>
      </c>
      <c r="AH159" s="5">
        <v>-0.21042259879734199</v>
      </c>
    </row>
    <row r="160" spans="2:34" x14ac:dyDescent="0.2">
      <c r="B160" s="4">
        <v>2025</v>
      </c>
      <c r="C160" s="4">
        <v>16</v>
      </c>
      <c r="D160" s="4" t="s">
        <v>20</v>
      </c>
      <c r="E160" s="4" t="s">
        <v>29</v>
      </c>
      <c r="F160" s="4">
        <v>17</v>
      </c>
      <c r="G160" s="4">
        <v>34</v>
      </c>
      <c r="H160" s="8">
        <v>0.52451465676521247</v>
      </c>
      <c r="I160" s="4">
        <v>-110</v>
      </c>
      <c r="J160" s="8">
        <v>0.47548534323478753</v>
      </c>
      <c r="K160" s="4">
        <v>110</v>
      </c>
      <c r="L160" s="4" t="s">
        <v>20</v>
      </c>
      <c r="M160" s="4" t="s">
        <v>29</v>
      </c>
      <c r="N160" s="4">
        <v>0</v>
      </c>
      <c r="O160" s="15">
        <v>23.282829122070581</v>
      </c>
      <c r="P160" s="15">
        <v>26.756905933402141</v>
      </c>
      <c r="Q160" s="4">
        <v>2.5</v>
      </c>
      <c r="R160" s="15">
        <v>-3.4740768113315599</v>
      </c>
      <c r="S160" s="4" t="s">
        <v>138</v>
      </c>
      <c r="T160" s="4">
        <v>-17</v>
      </c>
      <c r="U160" s="4" t="s">
        <v>138</v>
      </c>
      <c r="V160" s="4">
        <v>1</v>
      </c>
      <c r="W160" s="4">
        <v>49.5</v>
      </c>
      <c r="X160" s="9">
        <v>50.039735055472718</v>
      </c>
      <c r="Y160" s="4" t="s">
        <v>140</v>
      </c>
      <c r="Z160" s="4">
        <v>51</v>
      </c>
      <c r="AA160" s="4" t="s">
        <v>140</v>
      </c>
      <c r="AB160" s="4">
        <v>1</v>
      </c>
      <c r="AC160" s="5">
        <v>1.2319071539517111E-2</v>
      </c>
      <c r="AD160" s="5">
        <v>-0.41529864356631319</v>
      </c>
      <c r="AE160" s="5">
        <v>5.8993493968790226E-3</v>
      </c>
      <c r="AF160" s="5">
        <v>0.41529864356631319</v>
      </c>
      <c r="AG160" s="5">
        <v>-1.2319071539517111E-2</v>
      </c>
      <c r="AH160" s="5">
        <v>-5.8993493968790226E-3</v>
      </c>
    </row>
    <row r="161" spans="2:34" x14ac:dyDescent="0.2">
      <c r="B161" s="4">
        <v>2025</v>
      </c>
      <c r="C161" s="4">
        <v>16</v>
      </c>
      <c r="D161" s="4" t="s">
        <v>28</v>
      </c>
      <c r="E161" s="4" t="s">
        <v>41</v>
      </c>
      <c r="F161" s="4">
        <v>21</v>
      </c>
      <c r="G161" s="4">
        <v>45</v>
      </c>
      <c r="H161" s="8">
        <v>0.64262223922015771</v>
      </c>
      <c r="I161" s="4">
        <v>-179</v>
      </c>
      <c r="J161" s="8">
        <v>0.35737776077984229</v>
      </c>
      <c r="K161" s="4">
        <v>179</v>
      </c>
      <c r="L161" s="4" t="s">
        <v>28</v>
      </c>
      <c r="M161" s="4" t="s">
        <v>41</v>
      </c>
      <c r="N161" s="4">
        <v>0</v>
      </c>
      <c r="O161" s="15">
        <v>25.272464749512629</v>
      </c>
      <c r="P161" s="15">
        <v>21.999351598057409</v>
      </c>
      <c r="Q161" s="4">
        <v>-4.5</v>
      </c>
      <c r="R161" s="9">
        <v>3.2731131514552199</v>
      </c>
      <c r="S161" s="4" t="s">
        <v>139</v>
      </c>
      <c r="T161" s="4">
        <v>-24</v>
      </c>
      <c r="U161" s="4" t="s">
        <v>138</v>
      </c>
      <c r="V161" s="4">
        <v>0</v>
      </c>
      <c r="W161" s="4">
        <v>47.5</v>
      </c>
      <c r="X161" s="9">
        <v>47.271816347570052</v>
      </c>
      <c r="Y161" s="4" t="s">
        <v>141</v>
      </c>
      <c r="Z161" s="4">
        <v>66</v>
      </c>
      <c r="AA161" s="4" t="s">
        <v>140</v>
      </c>
      <c r="AB161" s="4">
        <v>0</v>
      </c>
      <c r="AC161" s="5">
        <v>-8.2405801546775695E-2</v>
      </c>
      <c r="AD161" s="5">
        <v>-0.37215389189172959</v>
      </c>
      <c r="AE161" s="5">
        <v>-0.13656136592229209</v>
      </c>
      <c r="AF161" s="5">
        <v>0.37215389189172959</v>
      </c>
      <c r="AG161" s="5">
        <v>8.2405801546775695E-2</v>
      </c>
      <c r="AH161" s="5">
        <v>0.13656136592229209</v>
      </c>
    </row>
    <row r="162" spans="2:34" x14ac:dyDescent="0.2">
      <c r="B162" s="4">
        <v>2025</v>
      </c>
      <c r="C162" s="4">
        <v>16</v>
      </c>
      <c r="D162" s="4" t="s">
        <v>31</v>
      </c>
      <c r="E162" s="4" t="s">
        <v>13</v>
      </c>
      <c r="F162" s="4">
        <v>29</v>
      </c>
      <c r="G162" s="4">
        <v>6</v>
      </c>
      <c r="H162" s="8">
        <v>0.52049589597517043</v>
      </c>
      <c r="I162" s="4">
        <v>-108</v>
      </c>
      <c r="J162" s="8">
        <v>0.47950410402482962</v>
      </c>
      <c r="K162" s="4">
        <v>108</v>
      </c>
      <c r="L162" s="4" t="s">
        <v>31</v>
      </c>
      <c r="M162" s="4" t="s">
        <v>31</v>
      </c>
      <c r="N162" s="4">
        <v>1</v>
      </c>
      <c r="O162" s="15">
        <v>21.956531139303191</v>
      </c>
      <c r="P162" s="15">
        <v>19.83597304471391</v>
      </c>
      <c r="Q162" s="4">
        <v>4.5</v>
      </c>
      <c r="R162" s="15">
        <v>2.1205580945892808</v>
      </c>
      <c r="S162" s="4" t="s">
        <v>138</v>
      </c>
      <c r="T162" s="4">
        <v>23</v>
      </c>
      <c r="U162" s="4" t="s">
        <v>139</v>
      </c>
      <c r="V162" s="4">
        <v>0</v>
      </c>
      <c r="W162" s="4">
        <v>40.5</v>
      </c>
      <c r="X162" s="9">
        <v>41.792504184017098</v>
      </c>
      <c r="Y162" s="4" t="s">
        <v>140</v>
      </c>
      <c r="Z162" s="4">
        <v>35</v>
      </c>
      <c r="AA162" s="4" t="s">
        <v>141</v>
      </c>
      <c r="AB162" s="4">
        <v>0</v>
      </c>
      <c r="AC162" s="5">
        <v>-1.923598387302497E-2</v>
      </c>
      <c r="AD162" s="5">
        <v>0.40649648146195838</v>
      </c>
      <c r="AE162" s="5">
        <v>4.1583979571307148E-2</v>
      </c>
      <c r="AF162" s="5">
        <v>-0.40649648146195838</v>
      </c>
      <c r="AG162" s="5">
        <v>1.923598387302497E-2</v>
      </c>
      <c r="AH162" s="5">
        <v>-4.1583979571307148E-2</v>
      </c>
    </row>
    <row r="163" spans="2:34" x14ac:dyDescent="0.2">
      <c r="B163" s="4">
        <v>2025</v>
      </c>
      <c r="C163" s="4">
        <v>16</v>
      </c>
      <c r="D163" s="4" t="s">
        <v>10</v>
      </c>
      <c r="E163" s="4" t="s">
        <v>77</v>
      </c>
      <c r="F163" s="4">
        <v>13</v>
      </c>
      <c r="G163" s="4">
        <v>16</v>
      </c>
      <c r="H163" s="8">
        <v>0.54385697669064592</v>
      </c>
      <c r="I163" s="4">
        <v>-119</v>
      </c>
      <c r="J163" s="8">
        <v>0.45614302330935408</v>
      </c>
      <c r="K163" s="4">
        <v>119</v>
      </c>
      <c r="L163" s="4" t="s">
        <v>10</v>
      </c>
      <c r="M163" s="4" t="s">
        <v>77</v>
      </c>
      <c r="N163" s="4">
        <v>0</v>
      </c>
      <c r="O163" s="15">
        <v>21.60529888402343</v>
      </c>
      <c r="P163" s="15">
        <v>20.340250591387569</v>
      </c>
      <c r="Q163" s="4">
        <v>-3</v>
      </c>
      <c r="R163" s="9">
        <v>1.265048292635861</v>
      </c>
      <c r="S163" s="4" t="s">
        <v>139</v>
      </c>
      <c r="T163" s="4">
        <v>-3</v>
      </c>
      <c r="U163" s="4" t="s">
        <v>138</v>
      </c>
      <c r="V163" s="4">
        <v>0</v>
      </c>
      <c r="W163" s="4">
        <v>43.5</v>
      </c>
      <c r="X163" s="9">
        <v>41.945549475411013</v>
      </c>
      <c r="Y163" s="4" t="s">
        <v>141</v>
      </c>
      <c r="Z163" s="4">
        <v>29</v>
      </c>
      <c r="AA163" s="4" t="s">
        <v>141</v>
      </c>
      <c r="AB163" s="4">
        <v>1</v>
      </c>
      <c r="AC163" s="5">
        <v>-0.2525144304547991</v>
      </c>
      <c r="AD163" s="5">
        <v>8.712315559387207E-2</v>
      </c>
      <c r="AE163" s="5">
        <v>9.4729696449480552E-2</v>
      </c>
      <c r="AF163" s="5">
        <v>-8.712315559387207E-2</v>
      </c>
      <c r="AG163" s="5">
        <v>0.2525144304547991</v>
      </c>
      <c r="AH163" s="5">
        <v>-9.4729696449480552E-2</v>
      </c>
    </row>
    <row r="164" spans="2:34" x14ac:dyDescent="0.2">
      <c r="B164" s="4">
        <v>2025</v>
      </c>
      <c r="C164" s="4">
        <v>16</v>
      </c>
      <c r="D164" s="4" t="s">
        <v>38</v>
      </c>
      <c r="E164" s="4" t="s">
        <v>46</v>
      </c>
      <c r="F164" s="4">
        <v>26</v>
      </c>
      <c r="G164" s="4">
        <v>9</v>
      </c>
      <c r="H164" s="8">
        <v>0.28893408804609783</v>
      </c>
      <c r="I164" s="4">
        <v>246</v>
      </c>
      <c r="J164" s="8">
        <v>0.71106591195390223</v>
      </c>
      <c r="K164" s="4">
        <v>-246</v>
      </c>
      <c r="L164" s="4" t="s">
        <v>46</v>
      </c>
      <c r="M164" s="4" t="s">
        <v>38</v>
      </c>
      <c r="N164" s="4">
        <v>0</v>
      </c>
      <c r="O164" s="15">
        <v>18.766062801481251</v>
      </c>
      <c r="P164" s="15">
        <v>26.221189911594909</v>
      </c>
      <c r="Q164" s="4">
        <v>-3</v>
      </c>
      <c r="R164" s="9">
        <v>-7.4551271101136614</v>
      </c>
      <c r="S164" s="4" t="s">
        <v>138</v>
      </c>
      <c r="T164" s="4">
        <v>17</v>
      </c>
      <c r="U164" s="4" t="s">
        <v>139</v>
      </c>
      <c r="V164" s="4">
        <v>0</v>
      </c>
      <c r="W164" s="4">
        <v>37.5</v>
      </c>
      <c r="X164" s="9">
        <v>44.98725271307616</v>
      </c>
      <c r="Y164" s="4" t="s">
        <v>140</v>
      </c>
      <c r="Z164" s="4">
        <v>35</v>
      </c>
      <c r="AA164" s="4" t="s">
        <v>141</v>
      </c>
      <c r="AB164" s="4">
        <v>0</v>
      </c>
      <c r="AC164" s="5">
        <v>2.704334930634834E-2</v>
      </c>
      <c r="AD164" s="5">
        <v>0.26126194000244141</v>
      </c>
      <c r="AE164" s="5">
        <v>7.5585239208661587E-2</v>
      </c>
      <c r="AF164" s="5">
        <v>-0.26126194000244141</v>
      </c>
      <c r="AG164" s="5">
        <v>-2.704334930634834E-2</v>
      </c>
      <c r="AH164" s="5">
        <v>-7.5585239208661587E-2</v>
      </c>
    </row>
    <row r="165" spans="2:34" x14ac:dyDescent="0.2">
      <c r="B165" s="4">
        <v>2025</v>
      </c>
      <c r="C165" s="4">
        <v>16</v>
      </c>
      <c r="D165" s="4" t="s">
        <v>23</v>
      </c>
      <c r="E165" s="4" t="s">
        <v>49</v>
      </c>
      <c r="F165" s="4">
        <v>19</v>
      </c>
      <c r="G165" s="4">
        <v>26</v>
      </c>
      <c r="H165" s="8">
        <v>0.40541773863663649</v>
      </c>
      <c r="I165" s="4">
        <v>146</v>
      </c>
      <c r="J165" s="8">
        <v>0.59458226136336356</v>
      </c>
      <c r="K165" s="4">
        <v>-146</v>
      </c>
      <c r="L165" s="4" t="s">
        <v>49</v>
      </c>
      <c r="M165" s="4" t="s">
        <v>49</v>
      </c>
      <c r="N165" s="4">
        <v>1</v>
      </c>
      <c r="O165" s="15">
        <v>18.697322220630362</v>
      </c>
      <c r="P165" s="15">
        <v>22.638798259832861</v>
      </c>
      <c r="Q165" s="4">
        <v>-3</v>
      </c>
      <c r="R165" s="15">
        <v>-3.9414760392024948</v>
      </c>
      <c r="S165" s="4" t="s">
        <v>138</v>
      </c>
      <c r="T165" s="4">
        <v>-7</v>
      </c>
      <c r="U165" s="4" t="s">
        <v>138</v>
      </c>
      <c r="V165" s="4">
        <v>1</v>
      </c>
      <c r="W165" s="4">
        <v>48.5</v>
      </c>
      <c r="X165" s="9">
        <v>41.336120480463222</v>
      </c>
      <c r="Y165" s="4" t="s">
        <v>141</v>
      </c>
      <c r="Z165" s="4">
        <v>45</v>
      </c>
      <c r="AA165" s="4" t="s">
        <v>141</v>
      </c>
      <c r="AB165" s="4">
        <v>1</v>
      </c>
      <c r="AC165" s="5">
        <v>2.4603760033323051E-2</v>
      </c>
      <c r="AD165" s="5">
        <v>-6.4516105651855463E-2</v>
      </c>
      <c r="AE165" s="5">
        <v>-0.20344829559326169</v>
      </c>
      <c r="AF165" s="5">
        <v>6.4516105651855463E-2</v>
      </c>
      <c r="AG165" s="5">
        <v>-2.4603760033323051E-2</v>
      </c>
      <c r="AH165" s="5">
        <v>0.20344829559326169</v>
      </c>
    </row>
    <row r="166" spans="2:34" x14ac:dyDescent="0.2">
      <c r="B166" s="4">
        <v>2025</v>
      </c>
      <c r="C166" s="4">
        <v>16</v>
      </c>
      <c r="D166" s="4" t="s">
        <v>14</v>
      </c>
      <c r="E166" s="4" t="s">
        <v>25</v>
      </c>
      <c r="F166" s="4">
        <v>20</v>
      </c>
      <c r="G166" s="4">
        <v>34</v>
      </c>
      <c r="H166" s="8">
        <v>0.58669551577150281</v>
      </c>
      <c r="I166" s="4">
        <v>-141</v>
      </c>
      <c r="J166" s="8">
        <v>0.41330448422849719</v>
      </c>
      <c r="K166" s="4">
        <v>141</v>
      </c>
      <c r="L166" s="4" t="s">
        <v>14</v>
      </c>
      <c r="M166" s="4" t="s">
        <v>25</v>
      </c>
      <c r="N166" s="4">
        <v>0</v>
      </c>
      <c r="O166" s="15">
        <v>24.632489708924481</v>
      </c>
      <c r="P166" s="15">
        <v>21.467136197838052</v>
      </c>
      <c r="Q166" s="4">
        <v>3</v>
      </c>
      <c r="R166" s="9">
        <v>3.1653535110864301</v>
      </c>
      <c r="S166" s="4" t="s">
        <v>139</v>
      </c>
      <c r="T166" s="4">
        <v>-14</v>
      </c>
      <c r="U166" s="4" t="s">
        <v>138</v>
      </c>
      <c r="V166" s="4">
        <v>0</v>
      </c>
      <c r="W166" s="4">
        <v>46.5</v>
      </c>
      <c r="X166" s="9">
        <v>46.099625906762533</v>
      </c>
      <c r="Y166" s="4" t="s">
        <v>141</v>
      </c>
      <c r="Z166" s="4">
        <v>54</v>
      </c>
      <c r="AA166" s="4" t="s">
        <v>140</v>
      </c>
      <c r="AB166" s="4">
        <v>0</v>
      </c>
      <c r="AC166" s="5">
        <v>-1.7414329629955871E-2</v>
      </c>
      <c r="AD166" s="5">
        <v>-0.1277331079755511</v>
      </c>
      <c r="AE166" s="5">
        <v>-0.13060212207417329</v>
      </c>
      <c r="AF166" s="5">
        <v>0.1277331079755511</v>
      </c>
      <c r="AG166" s="5">
        <v>1.7414329629955871E-2</v>
      </c>
      <c r="AH166" s="5">
        <v>0.13060212207417329</v>
      </c>
    </row>
    <row r="167" spans="2:34" x14ac:dyDescent="0.2">
      <c r="B167" s="4">
        <v>2025</v>
      </c>
      <c r="C167" s="4">
        <v>16</v>
      </c>
      <c r="D167" s="4" t="s">
        <v>47</v>
      </c>
      <c r="E167" s="4" t="s">
        <v>34</v>
      </c>
      <c r="F167" s="4">
        <v>24</v>
      </c>
      <c r="G167" s="4">
        <v>29</v>
      </c>
      <c r="H167" s="8">
        <v>0.63463542655933669</v>
      </c>
      <c r="I167" s="4">
        <v>-173</v>
      </c>
      <c r="J167" s="8">
        <v>0.36536457344066331</v>
      </c>
      <c r="K167" s="4">
        <v>173</v>
      </c>
      <c r="L167" s="4" t="s">
        <v>47</v>
      </c>
      <c r="M167" s="4" t="s">
        <v>34</v>
      </c>
      <c r="N167" s="4">
        <v>0</v>
      </c>
      <c r="O167" s="15">
        <v>26.008792577260699</v>
      </c>
      <c r="P167" s="15">
        <v>19.205482056892109</v>
      </c>
      <c r="Q167" s="4">
        <v>7</v>
      </c>
      <c r="R167" s="9">
        <v>6.8033105203685844</v>
      </c>
      <c r="S167" s="4" t="s">
        <v>138</v>
      </c>
      <c r="T167" s="4">
        <v>-5</v>
      </c>
      <c r="U167" s="4" t="s">
        <v>138</v>
      </c>
      <c r="V167" s="4">
        <v>1</v>
      </c>
      <c r="W167" s="4">
        <v>52.5</v>
      </c>
      <c r="X167" s="9">
        <v>45.214274634152808</v>
      </c>
      <c r="Y167" s="4" t="s">
        <v>141</v>
      </c>
      <c r="Z167" s="4">
        <v>53</v>
      </c>
      <c r="AA167" s="4" t="s">
        <v>140</v>
      </c>
      <c r="AB167" s="4">
        <v>0</v>
      </c>
      <c r="AC167" s="5">
        <v>4.9338510591689852E-2</v>
      </c>
      <c r="AD167" s="5">
        <v>-0.15111447669364311</v>
      </c>
      <c r="AE167" s="5">
        <v>9.666322384561811E-2</v>
      </c>
      <c r="AF167" s="5">
        <v>0.15111447669364311</v>
      </c>
      <c r="AG167" s="5">
        <v>-4.9338510591689852E-2</v>
      </c>
      <c r="AH167" s="5">
        <v>-9.666322384561811E-2</v>
      </c>
    </row>
    <row r="168" spans="2:34" x14ac:dyDescent="0.2">
      <c r="B168" s="4">
        <v>2025</v>
      </c>
      <c r="C168" s="4">
        <v>16</v>
      </c>
      <c r="D168" s="4" t="s">
        <v>85</v>
      </c>
      <c r="E168" s="4" t="s">
        <v>37</v>
      </c>
      <c r="F168" s="4">
        <v>23</v>
      </c>
      <c r="G168" s="4">
        <v>21</v>
      </c>
      <c r="H168" s="8">
        <v>0.81979303236102408</v>
      </c>
      <c r="I168" s="4">
        <v>-454</v>
      </c>
      <c r="J168" s="8">
        <v>0.1802069676389759</v>
      </c>
      <c r="K168" s="4">
        <v>454</v>
      </c>
      <c r="L168" s="4" t="s">
        <v>85</v>
      </c>
      <c r="M168" s="4" t="s">
        <v>85</v>
      </c>
      <c r="N168" s="4">
        <v>1</v>
      </c>
      <c r="O168" s="9">
        <v>28.909848522152469</v>
      </c>
      <c r="P168" s="15">
        <v>12.994568673364149</v>
      </c>
      <c r="Q168" s="4">
        <v>14.5</v>
      </c>
      <c r="R168" s="9">
        <v>15.91527984878832</v>
      </c>
      <c r="S168" s="4" t="s">
        <v>139</v>
      </c>
      <c r="T168" s="4">
        <v>2</v>
      </c>
      <c r="U168" s="4" t="s">
        <v>138</v>
      </c>
      <c r="V168" s="4">
        <v>0</v>
      </c>
      <c r="W168" s="4">
        <v>37.5</v>
      </c>
      <c r="X168" s="9">
        <v>41.904417195516608</v>
      </c>
      <c r="Y168" s="4" t="s">
        <v>140</v>
      </c>
      <c r="Z168" s="4">
        <v>44</v>
      </c>
      <c r="AA168" s="4" t="s">
        <v>140</v>
      </c>
      <c r="AB168" s="4">
        <v>1</v>
      </c>
      <c r="AC168" s="5">
        <v>-8.6954813154916918E-2</v>
      </c>
      <c r="AD168" s="5">
        <v>2.735014315004702E-2</v>
      </c>
      <c r="AE168" s="5">
        <v>0.25526637633641558</v>
      </c>
      <c r="AF168" s="5">
        <v>-2.735014315004702E-2</v>
      </c>
      <c r="AG168" s="5">
        <v>8.6954813154916918E-2</v>
      </c>
      <c r="AH168" s="5">
        <v>-0.25526637633641558</v>
      </c>
    </row>
    <row r="169" spans="2:34" x14ac:dyDescent="0.2">
      <c r="B169" s="4">
        <v>2025</v>
      </c>
      <c r="C169" s="4">
        <v>16</v>
      </c>
      <c r="D169" s="4" t="s">
        <v>16</v>
      </c>
      <c r="E169" s="4" t="s">
        <v>32</v>
      </c>
      <c r="F169" s="4">
        <v>24</v>
      </c>
      <c r="G169" s="4">
        <v>28</v>
      </c>
      <c r="H169" s="8">
        <v>0.41655455948100439</v>
      </c>
      <c r="I169" s="4">
        <v>140</v>
      </c>
      <c r="J169" s="8">
        <v>0.5834454405189955</v>
      </c>
      <c r="K169" s="4">
        <v>-140</v>
      </c>
      <c r="L169" s="4" t="s">
        <v>32</v>
      </c>
      <c r="M169" s="4" t="s">
        <v>32</v>
      </c>
      <c r="N169" s="4">
        <v>1</v>
      </c>
      <c r="O169" s="9">
        <v>19.247537889896488</v>
      </c>
      <c r="P169" s="15">
        <v>23.037053194399551</v>
      </c>
      <c r="Q169" s="4">
        <v>3</v>
      </c>
      <c r="R169" s="9">
        <v>-3.789515304503063</v>
      </c>
      <c r="S169" s="4" t="s">
        <v>138</v>
      </c>
      <c r="T169" s="4">
        <v>-4</v>
      </c>
      <c r="U169" s="4" t="s">
        <v>138</v>
      </c>
      <c r="V169" s="4">
        <v>1</v>
      </c>
      <c r="W169" s="4">
        <v>48.5</v>
      </c>
      <c r="X169" s="9">
        <v>42.284591084296054</v>
      </c>
      <c r="Y169" s="4" t="s">
        <v>141</v>
      </c>
      <c r="Z169" s="4">
        <v>52</v>
      </c>
      <c r="AA169" s="4" t="s">
        <v>140</v>
      </c>
      <c r="AB169" s="4">
        <v>0</v>
      </c>
      <c r="AC169" s="5">
        <v>9.8875787523057729E-2</v>
      </c>
      <c r="AD169" s="5">
        <v>-0.20078421963585749</v>
      </c>
      <c r="AE169" s="5">
        <v>-7.0050115170686142E-2</v>
      </c>
      <c r="AF169" s="5">
        <v>0.20078421963585749</v>
      </c>
      <c r="AG169" s="5">
        <v>-9.8875787523057729E-2</v>
      </c>
      <c r="AH169" s="5">
        <v>7.0050115170686142E-2</v>
      </c>
    </row>
    <row r="170" spans="2:34" x14ac:dyDescent="0.2">
      <c r="B170" s="4">
        <v>2025</v>
      </c>
      <c r="C170" s="4">
        <v>16</v>
      </c>
      <c r="D170" s="4" t="s">
        <v>22</v>
      </c>
      <c r="E170" s="4" t="s">
        <v>44</v>
      </c>
      <c r="F170" s="4">
        <v>27</v>
      </c>
      <c r="G170" s="4">
        <v>48</v>
      </c>
      <c r="H170" s="8">
        <v>0.48706739689137951</v>
      </c>
      <c r="I170" s="4">
        <v>105</v>
      </c>
      <c r="J170" s="8">
        <v>0.51293260310862054</v>
      </c>
      <c r="K170" s="4">
        <v>-105</v>
      </c>
      <c r="L170" s="4" t="s">
        <v>44</v>
      </c>
      <c r="M170" s="4" t="s">
        <v>44</v>
      </c>
      <c r="N170" s="4">
        <v>1</v>
      </c>
      <c r="O170" s="9">
        <v>23.744265193632749</v>
      </c>
      <c r="P170" s="15">
        <v>24.19909207119402</v>
      </c>
      <c r="Q170" s="4">
        <v>-6.5</v>
      </c>
      <c r="R170" s="9">
        <v>-0.45482687756127049</v>
      </c>
      <c r="S170" s="4" t="s">
        <v>139</v>
      </c>
      <c r="T170" s="4">
        <v>-21</v>
      </c>
      <c r="U170" s="4" t="s">
        <v>138</v>
      </c>
      <c r="V170" s="4">
        <v>0</v>
      </c>
      <c r="W170" s="4">
        <v>46.5</v>
      </c>
      <c r="X170" s="9">
        <v>47.943357264826759</v>
      </c>
      <c r="Y170" s="4" t="s">
        <v>140</v>
      </c>
      <c r="Z170" s="4">
        <v>75</v>
      </c>
      <c r="AA170" s="4" t="s">
        <v>140</v>
      </c>
      <c r="AB170" s="4">
        <v>1</v>
      </c>
      <c r="AC170" s="5">
        <v>-2.2431659698486331E-2</v>
      </c>
      <c r="AD170" s="5">
        <v>-0.4026968517000713</v>
      </c>
      <c r="AE170" s="5">
        <v>-0.13118640838130829</v>
      </c>
      <c r="AF170" s="5">
        <v>0.4026968517000713</v>
      </c>
      <c r="AG170" s="5">
        <v>2.2431659698486331E-2</v>
      </c>
      <c r="AH170" s="5">
        <v>0.13118640838130829</v>
      </c>
    </row>
    <row r="171" spans="2:34" x14ac:dyDescent="0.2">
      <c r="B171" s="4">
        <v>2025</v>
      </c>
      <c r="C171" s="4">
        <v>17</v>
      </c>
      <c r="D171" s="4" t="s">
        <v>52</v>
      </c>
      <c r="E171" s="4" t="s">
        <v>20</v>
      </c>
      <c r="F171" s="4">
        <v>23</v>
      </c>
      <c r="G171" s="4">
        <v>30</v>
      </c>
      <c r="H171" s="8">
        <v>0.41282143019888617</v>
      </c>
      <c r="I171" s="4">
        <v>142</v>
      </c>
      <c r="J171" s="8">
        <v>0.58717856980111383</v>
      </c>
      <c r="K171" s="4">
        <v>-142</v>
      </c>
      <c r="L171" s="4" t="s">
        <v>20</v>
      </c>
      <c r="M171" s="4" t="s">
        <v>20</v>
      </c>
      <c r="N171" s="4">
        <v>1</v>
      </c>
      <c r="O171" s="15">
        <v>21.332065901802299</v>
      </c>
      <c r="P171" s="15">
        <v>24.126748990821628</v>
      </c>
      <c r="Q171" s="4">
        <v>-8.5</v>
      </c>
      <c r="R171" s="15">
        <v>-2.7946830890193302</v>
      </c>
      <c r="S171" s="4" t="s">
        <v>139</v>
      </c>
      <c r="T171" s="4">
        <v>-7</v>
      </c>
      <c r="U171" s="4" t="s">
        <v>139</v>
      </c>
      <c r="V171" s="4">
        <v>1</v>
      </c>
      <c r="W171" s="4">
        <v>50.5</v>
      </c>
      <c r="X171" s="9">
        <v>45.458814892623927</v>
      </c>
      <c r="Y171" s="4" t="s">
        <v>141</v>
      </c>
      <c r="Z171" s="4">
        <v>53</v>
      </c>
      <c r="AA171" s="4" t="s">
        <v>140</v>
      </c>
      <c r="AB171" s="4">
        <v>0</v>
      </c>
      <c r="AC171" s="5">
        <v>0.2319403360056323</v>
      </c>
      <c r="AD171" s="5">
        <v>-0.22120343083920679</v>
      </c>
      <c r="AE171" s="5">
        <v>9.9053645956105205E-2</v>
      </c>
      <c r="AF171" s="5">
        <v>0.22120343083920679</v>
      </c>
      <c r="AG171" s="5">
        <v>-0.2319403360056323</v>
      </c>
      <c r="AH171" s="5">
        <v>-9.9053645956105205E-2</v>
      </c>
    </row>
    <row r="172" spans="2:34" x14ac:dyDescent="0.2">
      <c r="B172" s="4">
        <v>2025</v>
      </c>
      <c r="C172" s="4">
        <v>17</v>
      </c>
      <c r="D172" s="4" t="s">
        <v>77</v>
      </c>
      <c r="E172" s="4" t="s">
        <v>47</v>
      </c>
      <c r="F172" s="4">
        <v>23</v>
      </c>
      <c r="G172" s="4">
        <v>10</v>
      </c>
      <c r="H172" s="8">
        <v>0.42549773720014372</v>
      </c>
      <c r="I172" s="4">
        <v>135</v>
      </c>
      <c r="J172" s="8">
        <v>0.57450226279985628</v>
      </c>
      <c r="K172" s="4">
        <v>-135</v>
      </c>
      <c r="L172" s="4" t="s">
        <v>47</v>
      </c>
      <c r="M172" s="4" t="s">
        <v>77</v>
      </c>
      <c r="N172" s="4">
        <v>0</v>
      </c>
      <c r="O172" s="15">
        <v>20.706238304403229</v>
      </c>
      <c r="P172" s="15">
        <v>24.307338431866409</v>
      </c>
      <c r="Q172" s="4">
        <v>-7.5</v>
      </c>
      <c r="R172" s="15">
        <v>-3.6011001274631802</v>
      </c>
      <c r="S172" s="4" t="s">
        <v>139</v>
      </c>
      <c r="T172" s="4">
        <v>13</v>
      </c>
      <c r="U172" s="4" t="s">
        <v>139</v>
      </c>
      <c r="V172" s="4">
        <v>1</v>
      </c>
      <c r="W172" s="4">
        <v>43.5</v>
      </c>
      <c r="X172" s="9">
        <v>45.013576736269641</v>
      </c>
      <c r="Y172" s="4" t="s">
        <v>140</v>
      </c>
      <c r="Z172" s="4">
        <v>33</v>
      </c>
      <c r="AA172" s="4" t="s">
        <v>141</v>
      </c>
      <c r="AB172" s="4">
        <v>0</v>
      </c>
      <c r="AC172" s="5">
        <v>-0.25252072016398108</v>
      </c>
      <c r="AD172" s="5">
        <v>0.46371796727180481</v>
      </c>
      <c r="AE172" s="5">
        <v>-2.5729133532597471E-2</v>
      </c>
      <c r="AF172" s="5">
        <v>-0.46371796727180481</v>
      </c>
      <c r="AG172" s="5">
        <v>0.25252072016398108</v>
      </c>
      <c r="AH172" s="5">
        <v>2.5729133532597471E-2</v>
      </c>
    </row>
    <row r="173" spans="2:34" x14ac:dyDescent="0.2">
      <c r="B173" s="4">
        <v>2025</v>
      </c>
      <c r="C173" s="4">
        <v>17</v>
      </c>
      <c r="D173" s="4" t="s">
        <v>46</v>
      </c>
      <c r="E173" s="4" t="s">
        <v>14</v>
      </c>
      <c r="F173" s="4">
        <v>13</v>
      </c>
      <c r="G173" s="4">
        <v>20</v>
      </c>
      <c r="H173" s="8">
        <v>0.43793113003547351</v>
      </c>
      <c r="I173" s="4">
        <v>128</v>
      </c>
      <c r="J173" s="8">
        <v>0.56206886996452643</v>
      </c>
      <c r="K173" s="4">
        <v>-128</v>
      </c>
      <c r="L173" s="4" t="s">
        <v>14</v>
      </c>
      <c r="M173" s="4" t="s">
        <v>14</v>
      </c>
      <c r="N173" s="4">
        <v>1</v>
      </c>
      <c r="O173" s="15">
        <v>22.35682837886436</v>
      </c>
      <c r="P173" s="15">
        <v>23.84626020725829</v>
      </c>
      <c r="Q173" s="4">
        <v>-13.5</v>
      </c>
      <c r="R173" s="9">
        <v>-1.489431828393929</v>
      </c>
      <c r="S173" s="4" t="s">
        <v>139</v>
      </c>
      <c r="T173" s="4">
        <v>-7</v>
      </c>
      <c r="U173" s="4" t="s">
        <v>139</v>
      </c>
      <c r="V173" s="4">
        <v>1</v>
      </c>
      <c r="W173" s="4">
        <v>36.5</v>
      </c>
      <c r="X173" s="9">
        <v>46.203088586122647</v>
      </c>
      <c r="Y173" s="4" t="s">
        <v>140</v>
      </c>
      <c r="Z173" s="4">
        <v>33</v>
      </c>
      <c r="AA173" s="4" t="s">
        <v>141</v>
      </c>
      <c r="AB173" s="4">
        <v>0</v>
      </c>
      <c r="AC173" s="5">
        <v>-0.15266824903942289</v>
      </c>
      <c r="AD173" s="5">
        <v>-8.4641396159857094E-2</v>
      </c>
      <c r="AE173" s="5">
        <v>0.28701658937193097</v>
      </c>
      <c r="AF173" s="5">
        <v>8.4641396159857094E-2</v>
      </c>
      <c r="AG173" s="5">
        <v>0.15266824903942289</v>
      </c>
      <c r="AH173" s="5">
        <v>-0.28701658937193097</v>
      </c>
    </row>
    <row r="174" spans="2:34" x14ac:dyDescent="0.2">
      <c r="B174" s="4">
        <v>2025</v>
      </c>
      <c r="C174" s="4">
        <v>17</v>
      </c>
      <c r="D174" s="4" t="s">
        <v>29</v>
      </c>
      <c r="E174" s="4" t="s">
        <v>85</v>
      </c>
      <c r="F174" s="4">
        <v>16</v>
      </c>
      <c r="G174" s="4">
        <v>20</v>
      </c>
      <c r="H174" s="8">
        <v>0.53751412059105863</v>
      </c>
      <c r="I174" s="4">
        <v>-116</v>
      </c>
      <c r="J174" s="8">
        <v>0.46248587940894142</v>
      </c>
      <c r="K174" s="4">
        <v>116</v>
      </c>
      <c r="L174" s="4" t="s">
        <v>29</v>
      </c>
      <c r="M174" s="4" t="s">
        <v>85</v>
      </c>
      <c r="N174" s="4">
        <v>0</v>
      </c>
      <c r="O174" s="15">
        <v>22.239051791293011</v>
      </c>
      <c r="P174" s="15">
        <v>22.121618389548519</v>
      </c>
      <c r="Q174" s="4">
        <v>1.5</v>
      </c>
      <c r="R174" s="9">
        <v>0.11743340174448851</v>
      </c>
      <c r="S174" s="4" t="s">
        <v>138</v>
      </c>
      <c r="T174" s="4">
        <v>-4</v>
      </c>
      <c r="U174" s="4" t="s">
        <v>138</v>
      </c>
      <c r="V174" s="4">
        <v>1</v>
      </c>
      <c r="W174" s="4">
        <v>39.5</v>
      </c>
      <c r="X174" s="9">
        <v>44.360670180841517</v>
      </c>
      <c r="Y174" s="4" t="s">
        <v>140</v>
      </c>
      <c r="Z174" s="4">
        <v>36</v>
      </c>
      <c r="AA174" s="4" t="s">
        <v>141</v>
      </c>
      <c r="AB174" s="4">
        <v>0</v>
      </c>
      <c r="AC174" s="5">
        <v>-0.14214936513749379</v>
      </c>
      <c r="AD174" s="5">
        <v>7.9646910390546249E-2</v>
      </c>
      <c r="AE174" s="5">
        <v>-0.21228645587789599</v>
      </c>
      <c r="AF174" s="5">
        <v>-7.9646910390546249E-2</v>
      </c>
      <c r="AG174" s="5">
        <v>0.14214936513749379</v>
      </c>
      <c r="AH174" s="5">
        <v>0.21228645587789599</v>
      </c>
    </row>
    <row r="175" spans="2:34" x14ac:dyDescent="0.2">
      <c r="B175" s="4">
        <v>2025</v>
      </c>
      <c r="C175" s="4">
        <v>17</v>
      </c>
      <c r="D175" s="4" t="s">
        <v>40</v>
      </c>
      <c r="E175" s="4" t="s">
        <v>16</v>
      </c>
      <c r="F175" s="4">
        <v>24</v>
      </c>
      <c r="G175" s="4">
        <v>41</v>
      </c>
      <c r="H175" s="8">
        <v>0.63540445235652621</v>
      </c>
      <c r="I175" s="4">
        <v>-174</v>
      </c>
      <c r="J175" s="8">
        <v>0.36459554764347379</v>
      </c>
      <c r="K175" s="4">
        <v>174</v>
      </c>
      <c r="L175" s="4" t="s">
        <v>40</v>
      </c>
      <c r="M175" s="4" t="s">
        <v>16</v>
      </c>
      <c r="N175" s="4">
        <v>0</v>
      </c>
      <c r="O175" s="15">
        <v>25.37538507781553</v>
      </c>
      <c r="P175" s="15">
        <v>25.26811681177249</v>
      </c>
      <c r="Q175" s="4">
        <v>3</v>
      </c>
      <c r="R175" s="9">
        <v>0.1072682660430466</v>
      </c>
      <c r="S175" s="4" t="s">
        <v>138</v>
      </c>
      <c r="T175" s="4">
        <v>-17</v>
      </c>
      <c r="U175" s="4" t="s">
        <v>138</v>
      </c>
      <c r="V175" s="4">
        <v>1</v>
      </c>
      <c r="W175" s="4">
        <v>40.5</v>
      </c>
      <c r="X175" s="9">
        <v>50.643501889588023</v>
      </c>
      <c r="Y175" s="4" t="s">
        <v>140</v>
      </c>
      <c r="Z175" s="4">
        <v>65</v>
      </c>
      <c r="AA175" s="4" t="s">
        <v>140</v>
      </c>
      <c r="AB175" s="4">
        <v>1</v>
      </c>
      <c r="AC175" s="5">
        <v>0.117405456966824</v>
      </c>
      <c r="AD175" s="5">
        <v>-0.33768915812174483</v>
      </c>
      <c r="AE175" s="5">
        <v>-4.0311717987060536E-3</v>
      </c>
      <c r="AF175" s="5">
        <v>0.33768915812174483</v>
      </c>
      <c r="AG175" s="5">
        <v>-0.117405456966824</v>
      </c>
      <c r="AH175" s="5">
        <v>4.0311717987060536E-3</v>
      </c>
    </row>
    <row r="176" spans="2:34" x14ac:dyDescent="0.2">
      <c r="B176" s="4">
        <v>2025</v>
      </c>
      <c r="C176" s="4">
        <v>17</v>
      </c>
      <c r="D176" s="4" t="s">
        <v>19</v>
      </c>
      <c r="E176" s="4" t="s">
        <v>26</v>
      </c>
      <c r="F176" s="4">
        <v>10</v>
      </c>
      <c r="G176" s="4">
        <v>27</v>
      </c>
      <c r="H176" s="8">
        <v>0.35131865483870311</v>
      </c>
      <c r="I176" s="4">
        <v>184</v>
      </c>
      <c r="J176" s="8">
        <v>0.64868134516129694</v>
      </c>
      <c r="K176" s="4">
        <v>-184</v>
      </c>
      <c r="L176" s="4" t="s">
        <v>26</v>
      </c>
      <c r="M176" s="4" t="s">
        <v>26</v>
      </c>
      <c r="N176" s="4">
        <v>1</v>
      </c>
      <c r="O176" s="15">
        <v>18.598230455760248</v>
      </c>
      <c r="P176" s="15">
        <v>28.40619118159827</v>
      </c>
      <c r="Q176" s="4">
        <v>-7</v>
      </c>
      <c r="R176" s="15">
        <v>-9.807960725838015</v>
      </c>
      <c r="S176" s="4" t="s">
        <v>138</v>
      </c>
      <c r="T176" s="4">
        <v>-17</v>
      </c>
      <c r="U176" s="4" t="s">
        <v>138</v>
      </c>
      <c r="V176" s="4">
        <v>1</v>
      </c>
      <c r="W176" s="4">
        <v>42.5</v>
      </c>
      <c r="X176" s="9">
        <v>47.004421637358519</v>
      </c>
      <c r="Y176" s="4" t="s">
        <v>140</v>
      </c>
      <c r="Z176" s="4">
        <v>37</v>
      </c>
      <c r="AA176" s="4" t="s">
        <v>141</v>
      </c>
      <c r="AB176" s="4">
        <v>0</v>
      </c>
      <c r="AC176" s="5">
        <v>-0.47411228179931642</v>
      </c>
      <c r="AD176" s="5">
        <v>5.35889038672814E-2</v>
      </c>
      <c r="AE176" s="5">
        <v>-9.2909699394589373E-2</v>
      </c>
      <c r="AF176" s="5">
        <v>-5.35889038672814E-2</v>
      </c>
      <c r="AG176" s="5">
        <v>0.47411228179931642</v>
      </c>
      <c r="AH176" s="5">
        <v>9.2909699394589373E-2</v>
      </c>
    </row>
    <row r="177" spans="2:34" x14ac:dyDescent="0.2">
      <c r="B177" s="4">
        <v>2025</v>
      </c>
      <c r="C177" s="4">
        <v>17</v>
      </c>
      <c r="D177" s="4" t="s">
        <v>41</v>
      </c>
      <c r="E177" s="4" t="s">
        <v>23</v>
      </c>
      <c r="F177" s="4">
        <v>37</v>
      </c>
      <c r="G177" s="4">
        <v>14</v>
      </c>
      <c r="H177" s="8">
        <v>0.61258942461821686</v>
      </c>
      <c r="I177" s="4">
        <v>-158</v>
      </c>
      <c r="J177" s="8">
        <v>0.38741057538178308</v>
      </c>
      <c r="K177" s="4">
        <v>158</v>
      </c>
      <c r="L177" s="4" t="s">
        <v>41</v>
      </c>
      <c r="M177" s="4" t="s">
        <v>41</v>
      </c>
      <c r="N177" s="4">
        <v>1</v>
      </c>
      <c r="O177" s="15">
        <v>26.148549655458758</v>
      </c>
      <c r="P177" s="15">
        <v>24.94756395998073</v>
      </c>
      <c r="Q177" s="4">
        <v>7.5</v>
      </c>
      <c r="R177" s="9">
        <v>1.200985695478028</v>
      </c>
      <c r="S177" s="4" t="s">
        <v>138</v>
      </c>
      <c r="T177" s="4">
        <v>23</v>
      </c>
      <c r="U177" s="4" t="s">
        <v>139</v>
      </c>
      <c r="V177" s="4">
        <v>0</v>
      </c>
      <c r="W177" s="4">
        <v>52.5</v>
      </c>
      <c r="X177" s="9">
        <v>51.096113615439492</v>
      </c>
      <c r="Y177" s="4" t="s">
        <v>141</v>
      </c>
      <c r="Z177" s="4">
        <v>51</v>
      </c>
      <c r="AA177" s="4" t="s">
        <v>141</v>
      </c>
      <c r="AB177" s="4">
        <v>1</v>
      </c>
      <c r="AC177" s="5">
        <v>0.33032649837128097</v>
      </c>
      <c r="AD177" s="5">
        <v>2.2704843889202991E-2</v>
      </c>
      <c r="AE177" s="5">
        <v>-5.1734850956843451E-2</v>
      </c>
      <c r="AF177" s="5">
        <v>-2.2704843889202991E-2</v>
      </c>
      <c r="AG177" s="5">
        <v>-0.33032649837128097</v>
      </c>
      <c r="AH177" s="5">
        <v>5.1734850956843451E-2</v>
      </c>
    </row>
    <row r="178" spans="2:34" x14ac:dyDescent="0.2">
      <c r="B178" s="4">
        <v>2025</v>
      </c>
      <c r="C178" s="4">
        <v>17</v>
      </c>
      <c r="D178" s="4" t="s">
        <v>35</v>
      </c>
      <c r="E178" s="4" t="s">
        <v>34</v>
      </c>
      <c r="F178" s="4">
        <v>13</v>
      </c>
      <c r="G178" s="4">
        <v>6</v>
      </c>
      <c r="H178" s="8">
        <v>0.30626109673214358</v>
      </c>
      <c r="I178" s="4">
        <v>226</v>
      </c>
      <c r="J178" s="8">
        <v>0.69373890326785637</v>
      </c>
      <c r="K178" s="4">
        <v>-226</v>
      </c>
      <c r="L178" s="4" t="s">
        <v>34</v>
      </c>
      <c r="M178" s="4" t="s">
        <v>35</v>
      </c>
      <c r="N178" s="4">
        <v>0</v>
      </c>
      <c r="O178" s="15">
        <v>19.07209487906913</v>
      </c>
      <c r="P178" s="15">
        <v>22.81096650874672</v>
      </c>
      <c r="Q178" s="4">
        <v>-3</v>
      </c>
      <c r="R178" s="15">
        <v>-3.7388716296775901</v>
      </c>
      <c r="S178" s="4" t="s">
        <v>138</v>
      </c>
      <c r="T178" s="4">
        <v>7</v>
      </c>
      <c r="U178" s="4" t="s">
        <v>139</v>
      </c>
      <c r="V178" s="4">
        <v>0</v>
      </c>
      <c r="W178" s="4">
        <v>33.5</v>
      </c>
      <c r="X178" s="9">
        <v>41.883061387815857</v>
      </c>
      <c r="Y178" s="4" t="s">
        <v>140</v>
      </c>
      <c r="Z178" s="4">
        <v>19</v>
      </c>
      <c r="AA178" s="4" t="s">
        <v>141</v>
      </c>
      <c r="AB178" s="4">
        <v>0</v>
      </c>
      <c r="AC178" s="5">
        <v>-0.20642806034462119</v>
      </c>
      <c r="AD178" s="5">
        <v>0.21981136500835419</v>
      </c>
      <c r="AE178" s="5">
        <v>0.23588852655319939</v>
      </c>
      <c r="AF178" s="5">
        <v>-0.21981136500835419</v>
      </c>
      <c r="AG178" s="5">
        <v>0.20642806034462119</v>
      </c>
      <c r="AH178" s="5">
        <v>-0.23588852655319939</v>
      </c>
    </row>
    <row r="179" spans="2:34" x14ac:dyDescent="0.2">
      <c r="B179" s="4">
        <v>2025</v>
      </c>
      <c r="C179" s="4">
        <v>17</v>
      </c>
      <c r="D179" s="4" t="s">
        <v>22</v>
      </c>
      <c r="E179" s="4" t="s">
        <v>25</v>
      </c>
      <c r="F179" s="4">
        <v>17</v>
      </c>
      <c r="G179" s="4">
        <v>23</v>
      </c>
      <c r="H179" s="8">
        <v>0.41131428422671379</v>
      </c>
      <c r="I179" s="4">
        <v>143</v>
      </c>
      <c r="J179" s="8">
        <v>0.58868571577328621</v>
      </c>
      <c r="K179" s="4">
        <v>-143</v>
      </c>
      <c r="L179" s="4" t="s">
        <v>25</v>
      </c>
      <c r="M179" s="4" t="s">
        <v>25</v>
      </c>
      <c r="N179" s="4">
        <v>1</v>
      </c>
      <c r="O179" s="15">
        <v>20.869518837182529</v>
      </c>
      <c r="P179" s="15">
        <v>24.152507244820601</v>
      </c>
      <c r="Q179" s="4">
        <v>-6.5</v>
      </c>
      <c r="R179" s="9">
        <v>-3.2829884076380789</v>
      </c>
      <c r="S179" s="4" t="s">
        <v>139</v>
      </c>
      <c r="T179" s="4">
        <v>-6</v>
      </c>
      <c r="U179" s="4" t="s">
        <v>139</v>
      </c>
      <c r="V179" s="4">
        <v>1</v>
      </c>
      <c r="W179" s="4">
        <v>48.5</v>
      </c>
      <c r="X179" s="9">
        <v>45.02202608200313</v>
      </c>
      <c r="Y179" s="4" t="s">
        <v>141</v>
      </c>
      <c r="Z179" s="4">
        <v>40</v>
      </c>
      <c r="AA179" s="4" t="s">
        <v>141</v>
      </c>
      <c r="AB179" s="4">
        <v>1</v>
      </c>
      <c r="AC179" s="5">
        <v>-0.17091699232134899</v>
      </c>
      <c r="AD179" s="5">
        <v>4.0298069732776576E-3</v>
      </c>
      <c r="AE179" s="5">
        <v>1.0396182537078859E-2</v>
      </c>
      <c r="AF179" s="5">
        <v>-4.0298069732776576E-3</v>
      </c>
      <c r="AG179" s="5">
        <v>0.17091699232134899</v>
      </c>
      <c r="AH179" s="5">
        <v>-1.0396182537078859E-2</v>
      </c>
    </row>
    <row r="180" spans="2:34" x14ac:dyDescent="0.2">
      <c r="B180" s="4">
        <v>2025</v>
      </c>
      <c r="C180" s="4">
        <v>17</v>
      </c>
      <c r="D180" s="4" t="s">
        <v>28</v>
      </c>
      <c r="E180" s="4" t="s">
        <v>43</v>
      </c>
      <c r="F180" s="4">
        <v>20</v>
      </c>
      <c r="G180" s="4">
        <v>17</v>
      </c>
      <c r="H180" s="8">
        <v>0.54252769259493627</v>
      </c>
      <c r="I180" s="4">
        <v>-118</v>
      </c>
      <c r="J180" s="8">
        <v>0.45747230740506373</v>
      </c>
      <c r="K180" s="4">
        <v>118</v>
      </c>
      <c r="L180" s="4" t="s">
        <v>28</v>
      </c>
      <c r="M180" s="4" t="s">
        <v>28</v>
      </c>
      <c r="N180" s="4">
        <v>1</v>
      </c>
      <c r="O180" s="15">
        <v>25.357523161176289</v>
      </c>
      <c r="P180" s="15">
        <v>24.216388890297029</v>
      </c>
      <c r="Q180" s="4">
        <v>-5.5</v>
      </c>
      <c r="R180" s="9">
        <v>1.141134270879256</v>
      </c>
      <c r="S180" s="4" t="s">
        <v>139</v>
      </c>
      <c r="T180" s="4">
        <v>3</v>
      </c>
      <c r="U180" s="4" t="s">
        <v>139</v>
      </c>
      <c r="V180" s="4">
        <v>1</v>
      </c>
      <c r="W180" s="4">
        <v>45.5</v>
      </c>
      <c r="X180" s="9">
        <v>49.573912051473307</v>
      </c>
      <c r="Y180" s="4" t="s">
        <v>140</v>
      </c>
      <c r="Z180" s="4">
        <v>37</v>
      </c>
      <c r="AA180" s="4" t="s">
        <v>141</v>
      </c>
      <c r="AB180" s="4">
        <v>0</v>
      </c>
      <c r="AC180" s="5">
        <v>6.0104476081000432E-2</v>
      </c>
      <c r="AD180" s="5">
        <v>-3.7184526671224558E-2</v>
      </c>
      <c r="AE180" s="5">
        <v>0.20254220247268681</v>
      </c>
      <c r="AF180" s="5">
        <v>3.7184526671224558E-2</v>
      </c>
      <c r="AG180" s="5">
        <v>-6.0104476081000432E-2</v>
      </c>
      <c r="AH180" s="5">
        <v>-0.20254220247268681</v>
      </c>
    </row>
    <row r="181" spans="2:34" x14ac:dyDescent="0.2">
      <c r="B181" s="4">
        <v>2025</v>
      </c>
      <c r="C181" s="4">
        <v>17</v>
      </c>
      <c r="D181" s="4" t="s">
        <v>13</v>
      </c>
      <c r="E181" s="4" t="s">
        <v>32</v>
      </c>
      <c r="F181" s="4">
        <v>10</v>
      </c>
      <c r="G181" s="4">
        <v>42</v>
      </c>
      <c r="H181" s="8">
        <v>0.233976447694279</v>
      </c>
      <c r="I181" s="4">
        <v>327</v>
      </c>
      <c r="J181" s="8">
        <v>0.76602355230572095</v>
      </c>
      <c r="K181" s="4">
        <v>-327</v>
      </c>
      <c r="L181" s="4" t="s">
        <v>32</v>
      </c>
      <c r="M181" s="4" t="s">
        <v>32</v>
      </c>
      <c r="N181" s="4">
        <v>1</v>
      </c>
      <c r="O181" s="15">
        <v>18.15545795202846</v>
      </c>
      <c r="P181" s="15">
        <v>27.46140112404218</v>
      </c>
      <c r="Q181" s="4">
        <v>-13.5</v>
      </c>
      <c r="R181" s="15">
        <v>-9.3059431720137198</v>
      </c>
      <c r="S181" s="4" t="s">
        <v>139</v>
      </c>
      <c r="T181" s="4">
        <v>-32</v>
      </c>
      <c r="U181" s="4" t="s">
        <v>138</v>
      </c>
      <c r="V181" s="4">
        <v>0</v>
      </c>
      <c r="W181" s="4">
        <v>42.5</v>
      </c>
      <c r="X181" s="9">
        <v>45.616859076070639</v>
      </c>
      <c r="Y181" s="4" t="s">
        <v>140</v>
      </c>
      <c r="Z181" s="4">
        <v>52</v>
      </c>
      <c r="AA181" s="4" t="s">
        <v>140</v>
      </c>
      <c r="AB181" s="4">
        <v>1</v>
      </c>
      <c r="AC181" s="5">
        <v>-0.17908743023872381</v>
      </c>
      <c r="AD181" s="5">
        <v>-0.50469183921813965</v>
      </c>
      <c r="AE181" s="5">
        <v>0.27865218079608423</v>
      </c>
      <c r="AF181" s="5">
        <v>0.50469183921813965</v>
      </c>
      <c r="AG181" s="5">
        <v>0.17908743023872381</v>
      </c>
      <c r="AH181" s="5">
        <v>-0.27865218079608423</v>
      </c>
    </row>
    <row r="182" spans="2:34" x14ac:dyDescent="0.2">
      <c r="B182" s="4">
        <v>2025</v>
      </c>
      <c r="C182" s="4">
        <v>17</v>
      </c>
      <c r="D182" s="4" t="s">
        <v>38</v>
      </c>
      <c r="E182" s="4" t="s">
        <v>31</v>
      </c>
      <c r="F182" s="4">
        <v>26</v>
      </c>
      <c r="G182" s="4">
        <v>34</v>
      </c>
      <c r="H182" s="8">
        <v>0.44607944474533329</v>
      </c>
      <c r="I182" s="4">
        <v>124</v>
      </c>
      <c r="J182" s="8">
        <v>0.55392055525466666</v>
      </c>
      <c r="K182" s="4">
        <v>-124</v>
      </c>
      <c r="L182" s="4" t="s">
        <v>31</v>
      </c>
      <c r="M182" s="4" t="s">
        <v>31</v>
      </c>
      <c r="N182" s="4">
        <v>1</v>
      </c>
      <c r="O182" s="15">
        <v>22.906844836940341</v>
      </c>
      <c r="P182" s="15">
        <v>21.82991600578422</v>
      </c>
      <c r="Q182" s="4">
        <v>-2.5</v>
      </c>
      <c r="R182" s="9">
        <v>1.07692883115612</v>
      </c>
      <c r="S182" s="4" t="s">
        <v>139</v>
      </c>
      <c r="T182" s="4">
        <v>-8</v>
      </c>
      <c r="U182" s="4" t="s">
        <v>138</v>
      </c>
      <c r="V182" s="4">
        <v>0</v>
      </c>
      <c r="W182" s="4">
        <v>39.5</v>
      </c>
      <c r="X182" s="9">
        <v>44.736760842724557</v>
      </c>
      <c r="Y182" s="4" t="s">
        <v>140</v>
      </c>
      <c r="Z182" s="4">
        <v>60</v>
      </c>
      <c r="AA182" s="4" t="s">
        <v>140</v>
      </c>
      <c r="AB182" s="4">
        <v>1</v>
      </c>
      <c r="AC182" s="5">
        <v>-0.13270121651726799</v>
      </c>
      <c r="AD182" s="5">
        <v>-0.1991390912037975</v>
      </c>
      <c r="AE182" s="5">
        <v>0.2469404177232222</v>
      </c>
      <c r="AF182" s="5">
        <v>0.1991390912037975</v>
      </c>
      <c r="AG182" s="5">
        <v>0.13270121651726799</v>
      </c>
      <c r="AH182" s="5">
        <v>-0.2469404177232222</v>
      </c>
    </row>
    <row r="183" spans="2:34" x14ac:dyDescent="0.2">
      <c r="B183" s="4">
        <v>2025</v>
      </c>
      <c r="C183" s="4">
        <v>17</v>
      </c>
      <c r="D183" s="4" t="s">
        <v>37</v>
      </c>
      <c r="E183" s="4" t="s">
        <v>10</v>
      </c>
      <c r="F183" s="4">
        <v>10</v>
      </c>
      <c r="G183" s="4">
        <v>34</v>
      </c>
      <c r="H183" s="8">
        <v>0.33366036237169933</v>
      </c>
      <c r="I183" s="4">
        <v>199</v>
      </c>
      <c r="J183" s="8">
        <v>0.66633963762830062</v>
      </c>
      <c r="K183" s="4">
        <v>-199</v>
      </c>
      <c r="L183" s="4" t="s">
        <v>10</v>
      </c>
      <c r="M183" s="4" t="s">
        <v>10</v>
      </c>
      <c r="N183" s="4">
        <v>1</v>
      </c>
      <c r="O183" s="15">
        <v>18.502818792130569</v>
      </c>
      <c r="P183" s="15">
        <v>22.57260962654793</v>
      </c>
      <c r="Q183" s="4">
        <v>-1.5</v>
      </c>
      <c r="R183" s="9">
        <v>-4.0697908344173648</v>
      </c>
      <c r="S183" s="4" t="s">
        <v>138</v>
      </c>
      <c r="T183" s="4">
        <v>-24</v>
      </c>
      <c r="U183" s="4" t="s">
        <v>138</v>
      </c>
      <c r="V183" s="4">
        <v>1</v>
      </c>
      <c r="W183" s="4">
        <v>41.5</v>
      </c>
      <c r="X183" s="9">
        <v>41.075428418678499</v>
      </c>
      <c r="Y183" s="4" t="s">
        <v>141</v>
      </c>
      <c r="Z183" s="4">
        <v>44</v>
      </c>
      <c r="AA183" s="4" t="s">
        <v>140</v>
      </c>
      <c r="AB183" s="4">
        <v>0</v>
      </c>
      <c r="AC183" s="5">
        <v>-0.22700842495622309</v>
      </c>
      <c r="AD183" s="5">
        <v>-0.2351310761248479</v>
      </c>
      <c r="AE183" s="5">
        <v>-9.7053625366904525E-2</v>
      </c>
      <c r="AF183" s="5">
        <v>0.2351310761248479</v>
      </c>
      <c r="AG183" s="5">
        <v>0.22700842495622309</v>
      </c>
      <c r="AH183" s="5">
        <v>9.7053625366904525E-2</v>
      </c>
    </row>
    <row r="184" spans="2:34" x14ac:dyDescent="0.2">
      <c r="B184" s="4">
        <v>2025</v>
      </c>
      <c r="C184" s="4">
        <v>17</v>
      </c>
      <c r="D184" s="4" t="s">
        <v>50</v>
      </c>
      <c r="E184" s="4" t="s">
        <v>11</v>
      </c>
      <c r="F184" s="4">
        <v>12</v>
      </c>
      <c r="G184" s="4">
        <v>13</v>
      </c>
      <c r="H184" s="8">
        <v>0.57234845190812011</v>
      </c>
      <c r="I184" s="4">
        <v>-133</v>
      </c>
      <c r="J184" s="8">
        <v>0.42765154809187989</v>
      </c>
      <c r="K184" s="4">
        <v>133</v>
      </c>
      <c r="L184" s="4" t="s">
        <v>50</v>
      </c>
      <c r="M184" s="4" t="s">
        <v>11</v>
      </c>
      <c r="N184" s="4">
        <v>0</v>
      </c>
      <c r="O184" s="9">
        <v>26.037626997972321</v>
      </c>
      <c r="P184" s="15">
        <v>22.915419244049261</v>
      </c>
      <c r="Q184" s="4">
        <v>1.5</v>
      </c>
      <c r="R184" s="9">
        <v>3.1222077539230599</v>
      </c>
      <c r="S184" s="4" t="s">
        <v>139</v>
      </c>
      <c r="T184" s="4">
        <v>-1</v>
      </c>
      <c r="U184" s="4" t="s">
        <v>138</v>
      </c>
      <c r="V184" s="4">
        <v>0</v>
      </c>
      <c r="W184" s="4">
        <v>43.5</v>
      </c>
      <c r="X184" s="9">
        <v>48.953046242021593</v>
      </c>
      <c r="Y184" s="4" t="s">
        <v>140</v>
      </c>
      <c r="Z184" s="4">
        <v>25</v>
      </c>
      <c r="AA184" s="4" t="s">
        <v>141</v>
      </c>
      <c r="AB184" s="4">
        <v>0</v>
      </c>
      <c r="AC184" s="5">
        <v>-5.0502319593687318E-2</v>
      </c>
      <c r="AD184" s="5">
        <v>0.1195927835860342</v>
      </c>
      <c r="AE184" s="5">
        <v>-0.25014792442321782</v>
      </c>
      <c r="AF184" s="5">
        <v>-0.1195927835860342</v>
      </c>
      <c r="AG184" s="5">
        <v>5.0502319593687318E-2</v>
      </c>
      <c r="AH184" s="5">
        <v>0.25014792442321782</v>
      </c>
    </row>
    <row r="185" spans="2:34" x14ac:dyDescent="0.2">
      <c r="B185" s="4">
        <v>2025</v>
      </c>
      <c r="C185" s="4">
        <v>17</v>
      </c>
      <c r="D185" s="4" t="s">
        <v>44</v>
      </c>
      <c r="E185" s="4" t="s">
        <v>53</v>
      </c>
      <c r="F185" s="4">
        <v>42</v>
      </c>
      <c r="G185" s="4">
        <v>38</v>
      </c>
      <c r="H185" s="8">
        <v>0.63055471279437458</v>
      </c>
      <c r="I185" s="4">
        <v>-170</v>
      </c>
      <c r="J185" s="8">
        <v>0.36944528720562542</v>
      </c>
      <c r="K185" s="4">
        <v>170</v>
      </c>
      <c r="L185" s="4" t="s">
        <v>44</v>
      </c>
      <c r="M185" s="4" t="s">
        <v>44</v>
      </c>
      <c r="N185" s="4">
        <v>1</v>
      </c>
      <c r="O185" s="9">
        <v>28.48497409018092</v>
      </c>
      <c r="P185" s="15">
        <v>24.427110672654521</v>
      </c>
      <c r="Q185" s="4">
        <v>3</v>
      </c>
      <c r="R185" s="9">
        <v>4.057863417526395</v>
      </c>
      <c r="S185" s="4" t="s">
        <v>139</v>
      </c>
      <c r="T185" s="4">
        <v>4</v>
      </c>
      <c r="U185" s="4" t="s">
        <v>139</v>
      </c>
      <c r="V185" s="4">
        <v>1</v>
      </c>
      <c r="W185" s="4">
        <v>52.5</v>
      </c>
      <c r="X185" s="9">
        <v>52.912084762835427</v>
      </c>
      <c r="Y185" s="4" t="s">
        <v>140</v>
      </c>
      <c r="Z185" s="4">
        <v>80</v>
      </c>
      <c r="AA185" s="4" t="s">
        <v>140</v>
      </c>
      <c r="AB185" s="4">
        <v>1</v>
      </c>
      <c r="AC185" s="5">
        <v>0.29294983545939129</v>
      </c>
      <c r="AD185" s="5">
        <v>-0.32815566429725063</v>
      </c>
      <c r="AE185" s="5">
        <v>1.3250324033921771E-2</v>
      </c>
      <c r="AF185" s="5">
        <v>0.32815566429725063</v>
      </c>
      <c r="AG185" s="5">
        <v>-0.29294983545939129</v>
      </c>
      <c r="AH185" s="5">
        <v>-1.3250324033921771E-2</v>
      </c>
    </row>
    <row r="186" spans="2:34" x14ac:dyDescent="0.2">
      <c r="B186" s="4">
        <v>2025</v>
      </c>
      <c r="C186" s="4">
        <v>17</v>
      </c>
      <c r="D186" s="4" t="s">
        <v>49</v>
      </c>
      <c r="E186" s="4" t="s">
        <v>17</v>
      </c>
      <c r="F186" s="4">
        <v>27</v>
      </c>
      <c r="G186" s="4">
        <v>24</v>
      </c>
      <c r="H186" s="8">
        <v>0.29752007082527432</v>
      </c>
      <c r="I186" s="4">
        <v>236</v>
      </c>
      <c r="J186" s="8">
        <v>0.70247992917472568</v>
      </c>
      <c r="K186" s="4">
        <v>-236</v>
      </c>
      <c r="L186" s="4" t="s">
        <v>17</v>
      </c>
      <c r="M186" s="4" t="s">
        <v>49</v>
      </c>
      <c r="N186" s="4">
        <v>0</v>
      </c>
      <c r="O186" s="9">
        <v>21.72428470641804</v>
      </c>
      <c r="P186" s="15">
        <v>30.27893969611544</v>
      </c>
      <c r="Q186" s="4">
        <v>-7.5</v>
      </c>
      <c r="R186" s="9">
        <v>-8.5546549896974042</v>
      </c>
      <c r="S186" s="4" t="s">
        <v>138</v>
      </c>
      <c r="T186" s="4">
        <v>3</v>
      </c>
      <c r="U186" s="4" t="s">
        <v>139</v>
      </c>
      <c r="V186" s="4">
        <v>0</v>
      </c>
      <c r="W186" s="4">
        <v>49.5</v>
      </c>
      <c r="X186" s="9">
        <v>52.003224402533483</v>
      </c>
      <c r="Y186" s="4" t="s">
        <v>140</v>
      </c>
      <c r="Z186" s="4">
        <v>51</v>
      </c>
      <c r="AA186" s="4" t="s">
        <v>140</v>
      </c>
      <c r="AB186" s="4">
        <v>1</v>
      </c>
      <c r="AC186" s="5">
        <v>0.11564381617420121</v>
      </c>
      <c r="AD186" s="5">
        <v>0.1016359402583196</v>
      </c>
      <c r="AE186" s="5">
        <v>-0.3074916090284075</v>
      </c>
      <c r="AF186" s="5">
        <v>-0.1016359402583196</v>
      </c>
      <c r="AG186" s="5">
        <v>-0.11564381617420121</v>
      </c>
      <c r="AH186" s="5">
        <v>0.3074916090284075</v>
      </c>
    </row>
    <row r="187" spans="2:34" x14ac:dyDescent="0.2">
      <c r="B187" s="4">
        <v>2025</v>
      </c>
      <c r="C187" s="4">
        <v>18</v>
      </c>
      <c r="D187" s="4" t="s">
        <v>43</v>
      </c>
      <c r="E187" s="4" t="s">
        <v>19</v>
      </c>
      <c r="F187" s="4">
        <v>16</v>
      </c>
      <c r="G187" s="4">
        <v>14</v>
      </c>
      <c r="H187" s="8">
        <v>0.55034776813727193</v>
      </c>
      <c r="I187" s="4">
        <v>-122</v>
      </c>
      <c r="J187" s="8">
        <v>0.44965223186272812</v>
      </c>
      <c r="K187" s="4">
        <v>122</v>
      </c>
      <c r="L187" s="4" t="s">
        <v>43</v>
      </c>
      <c r="M187" s="4" t="s">
        <v>43</v>
      </c>
      <c r="N187" s="4">
        <v>1</v>
      </c>
      <c r="O187" s="15">
        <v>24.274662090852111</v>
      </c>
      <c r="P187" s="15">
        <v>22.010583615012141</v>
      </c>
      <c r="Q187" s="4">
        <v>2.5</v>
      </c>
      <c r="R187" s="15">
        <v>2.2640784758399728</v>
      </c>
      <c r="S187" s="4" t="s">
        <v>138</v>
      </c>
      <c r="T187" s="4">
        <v>2</v>
      </c>
      <c r="U187" s="4" t="s">
        <v>138</v>
      </c>
      <c r="V187" s="4">
        <v>1</v>
      </c>
      <c r="W187" s="4">
        <v>43.5</v>
      </c>
      <c r="X187" s="9">
        <v>46.285245705864249</v>
      </c>
      <c r="Y187" s="4" t="s">
        <v>140</v>
      </c>
      <c r="Z187" s="4">
        <v>30</v>
      </c>
      <c r="AA187" s="4" t="s">
        <v>141</v>
      </c>
      <c r="AB187" s="4">
        <v>0</v>
      </c>
      <c r="AC187" s="5">
        <v>1.830032156474555E-2</v>
      </c>
      <c r="AD187" s="5">
        <v>3.5524382883188682E-2</v>
      </c>
      <c r="AE187" s="5">
        <v>-3.5771714015440513E-2</v>
      </c>
      <c r="AF187" s="5">
        <v>-3.5524382883188682E-2</v>
      </c>
      <c r="AG187" s="5">
        <v>-1.830032156474555E-2</v>
      </c>
      <c r="AH187" s="5">
        <v>3.5771714015440513E-2</v>
      </c>
    </row>
    <row r="188" spans="2:34" x14ac:dyDescent="0.2">
      <c r="B188" s="4">
        <v>2025</v>
      </c>
      <c r="C188" s="4">
        <v>18</v>
      </c>
      <c r="D188" s="4" t="s">
        <v>44</v>
      </c>
      <c r="E188" s="4" t="s">
        <v>26</v>
      </c>
      <c r="F188" s="4">
        <v>3</v>
      </c>
      <c r="G188" s="4">
        <v>13</v>
      </c>
      <c r="H188" s="8">
        <v>0.57962029072357746</v>
      </c>
      <c r="I188" s="4">
        <v>-137</v>
      </c>
      <c r="J188" s="8">
        <v>0.42037970927642249</v>
      </c>
      <c r="K188" s="4">
        <v>137</v>
      </c>
      <c r="L188" s="4" t="s">
        <v>44</v>
      </c>
      <c r="M188" s="4" t="s">
        <v>26</v>
      </c>
      <c r="N188" s="4">
        <v>0</v>
      </c>
      <c r="O188" s="15">
        <v>24.00409348427182</v>
      </c>
      <c r="P188" s="15">
        <v>24.84763773704849</v>
      </c>
      <c r="Q188" s="4">
        <v>-1.5</v>
      </c>
      <c r="R188" s="15">
        <v>-0.84354425277667033</v>
      </c>
      <c r="S188" s="4" t="s">
        <v>139</v>
      </c>
      <c r="T188" s="4">
        <v>-10</v>
      </c>
      <c r="U188" s="4" t="s">
        <v>138</v>
      </c>
      <c r="V188" s="4">
        <v>0</v>
      </c>
      <c r="W188" s="4">
        <v>47.5</v>
      </c>
      <c r="X188" s="9">
        <v>48.851731221320307</v>
      </c>
      <c r="Y188" s="4" t="s">
        <v>140</v>
      </c>
      <c r="Z188" s="4">
        <v>16</v>
      </c>
      <c r="AA188" s="4" t="s">
        <v>141</v>
      </c>
      <c r="AB188" s="4">
        <v>0</v>
      </c>
      <c r="AC188" s="5">
        <v>-0.3589906919570196</v>
      </c>
      <c r="AD188" s="5">
        <v>-0.10921088131991299</v>
      </c>
      <c r="AE188" s="5">
        <v>0.30073720567366657</v>
      </c>
      <c r="AF188" s="5">
        <v>0.10921088131991299</v>
      </c>
      <c r="AG188" s="5">
        <v>0.3589906919570196</v>
      </c>
      <c r="AH188" s="5">
        <v>-0.30073720567366657</v>
      </c>
    </row>
    <row r="189" spans="2:34" x14ac:dyDescent="0.2">
      <c r="B189" s="4">
        <v>2025</v>
      </c>
      <c r="C189" s="4">
        <v>18</v>
      </c>
      <c r="D189" s="4" t="s">
        <v>49</v>
      </c>
      <c r="E189" s="4" t="s">
        <v>31</v>
      </c>
      <c r="F189" s="4">
        <v>19</v>
      </c>
      <c r="G189" s="4">
        <v>17</v>
      </c>
      <c r="H189" s="8">
        <v>0.49416493182868498</v>
      </c>
      <c r="I189" s="4">
        <v>102</v>
      </c>
      <c r="J189" s="8">
        <v>0.50583506817131496</v>
      </c>
      <c r="K189" s="4">
        <v>-102</v>
      </c>
      <c r="L189" s="4" t="s">
        <v>31</v>
      </c>
      <c r="M189" s="4" t="s">
        <v>49</v>
      </c>
      <c r="N189" s="4">
        <v>0</v>
      </c>
      <c r="O189" s="15">
        <v>22.695152668872691</v>
      </c>
      <c r="P189" s="15">
        <v>22.14771100071242</v>
      </c>
      <c r="Q189" s="4">
        <v>3</v>
      </c>
      <c r="R189" s="9">
        <v>0.54744166816027473</v>
      </c>
      <c r="S189" s="4" t="s">
        <v>138</v>
      </c>
      <c r="T189" s="4">
        <v>2</v>
      </c>
      <c r="U189" s="4" t="s">
        <v>138</v>
      </c>
      <c r="V189" s="4">
        <v>1</v>
      </c>
      <c r="W189" s="4">
        <v>45.5</v>
      </c>
      <c r="X189" s="9">
        <v>44.842863669585107</v>
      </c>
      <c r="Y189" s="4" t="s">
        <v>141</v>
      </c>
      <c r="Z189" s="4">
        <v>36</v>
      </c>
      <c r="AA189" s="4" t="s">
        <v>141</v>
      </c>
      <c r="AB189" s="4">
        <v>1</v>
      </c>
      <c r="AC189" s="5">
        <v>-0.24327203432718911</v>
      </c>
      <c r="AD189" s="5">
        <v>0.1058234256856582</v>
      </c>
      <c r="AE189" s="5">
        <v>0.43750580719539089</v>
      </c>
      <c r="AF189" s="5">
        <v>-0.1058234256856582</v>
      </c>
      <c r="AG189" s="5">
        <v>0.24327203432718911</v>
      </c>
      <c r="AH189" s="5">
        <v>-0.43750580719539089</v>
      </c>
    </row>
    <row r="190" spans="2:34" x14ac:dyDescent="0.2">
      <c r="B190" s="4">
        <v>2025</v>
      </c>
      <c r="C190" s="4">
        <v>18</v>
      </c>
      <c r="D190" s="4" t="s">
        <v>41</v>
      </c>
      <c r="E190" s="4" t="s">
        <v>35</v>
      </c>
      <c r="F190" s="4">
        <v>18</v>
      </c>
      <c r="G190" s="4">
        <v>20</v>
      </c>
      <c r="H190" s="8">
        <v>0.66728647654381279</v>
      </c>
      <c r="I190" s="4">
        <v>-200</v>
      </c>
      <c r="J190" s="8">
        <v>0.33271352345618721</v>
      </c>
      <c r="K190" s="4">
        <v>200</v>
      </c>
      <c r="L190" s="4" t="s">
        <v>41</v>
      </c>
      <c r="M190" s="4" t="s">
        <v>35</v>
      </c>
      <c r="N190" s="4">
        <v>0</v>
      </c>
      <c r="O190" s="15">
        <v>27.358433832848188</v>
      </c>
      <c r="P190" s="15">
        <v>21.240233418915061</v>
      </c>
      <c r="Q190" s="4">
        <v>7.5</v>
      </c>
      <c r="R190" s="9">
        <v>6.1182004139331347</v>
      </c>
      <c r="S190" s="4" t="s">
        <v>138</v>
      </c>
      <c r="T190" s="4">
        <v>-2</v>
      </c>
      <c r="U190" s="4" t="s">
        <v>138</v>
      </c>
      <c r="V190" s="4">
        <v>1</v>
      </c>
      <c r="W190" s="4">
        <v>44.5</v>
      </c>
      <c r="X190" s="9">
        <v>48.598667251763253</v>
      </c>
      <c r="Y190" s="4" t="s">
        <v>140</v>
      </c>
      <c r="Z190" s="4">
        <v>38</v>
      </c>
      <c r="AA190" s="4" t="s">
        <v>141</v>
      </c>
      <c r="AB190" s="4">
        <v>0</v>
      </c>
      <c r="AC190" s="5">
        <v>-8.8743957120980793E-2</v>
      </c>
      <c r="AD190" s="5">
        <v>0.12539845246535081</v>
      </c>
      <c r="AE190" s="5">
        <v>-6.7371854782104487E-2</v>
      </c>
      <c r="AF190" s="5">
        <v>-0.12539845246535081</v>
      </c>
      <c r="AG190" s="5">
        <v>8.8743957120980793E-2</v>
      </c>
      <c r="AH190" s="5">
        <v>6.7371854782104487E-2</v>
      </c>
    </row>
    <row r="191" spans="2:34" x14ac:dyDescent="0.2">
      <c r="B191" s="4">
        <v>2025</v>
      </c>
      <c r="C191" s="4">
        <v>18</v>
      </c>
      <c r="D191" s="4" t="s">
        <v>85</v>
      </c>
      <c r="E191" s="4" t="s">
        <v>22</v>
      </c>
      <c r="F191" s="4">
        <v>38</v>
      </c>
      <c r="G191" s="4">
        <v>30</v>
      </c>
      <c r="H191" s="8">
        <v>0.66446874419824187</v>
      </c>
      <c r="I191" s="4">
        <v>-198</v>
      </c>
      <c r="J191" s="8">
        <v>0.33553125580175808</v>
      </c>
      <c r="K191" s="4">
        <v>198</v>
      </c>
      <c r="L191" s="4" t="s">
        <v>85</v>
      </c>
      <c r="M191" s="4" t="s">
        <v>85</v>
      </c>
      <c r="N191" s="4">
        <v>1</v>
      </c>
      <c r="O191" s="15">
        <v>25.675340032837699</v>
      </c>
      <c r="P191" s="15">
        <v>17.458343133705689</v>
      </c>
      <c r="Q191" s="4">
        <v>10.5</v>
      </c>
      <c r="R191" s="9">
        <v>8.2169968991320133</v>
      </c>
      <c r="S191" s="4" t="s">
        <v>138</v>
      </c>
      <c r="T191" s="4">
        <v>8</v>
      </c>
      <c r="U191" s="4" t="s">
        <v>138</v>
      </c>
      <c r="V191" s="4">
        <v>1</v>
      </c>
      <c r="W191" s="4">
        <v>38.5</v>
      </c>
      <c r="X191" s="9">
        <v>43.133683166543378</v>
      </c>
      <c r="Y191" s="4" t="s">
        <v>140</v>
      </c>
      <c r="Z191" s="4">
        <v>68</v>
      </c>
      <c r="AA191" s="4" t="s">
        <v>140</v>
      </c>
      <c r="AB191" s="4">
        <v>1</v>
      </c>
      <c r="AC191" s="5">
        <v>5.6797724161575091E-3</v>
      </c>
      <c r="AD191" s="5">
        <v>3.2016913096110017E-2</v>
      </c>
      <c r="AE191" s="5">
        <v>0.1492186504251817</v>
      </c>
      <c r="AF191" s="5">
        <v>-3.2016913096110017E-2</v>
      </c>
      <c r="AG191" s="5">
        <v>-5.6797724161575091E-3</v>
      </c>
      <c r="AH191" s="5">
        <v>-0.1492186504251817</v>
      </c>
    </row>
    <row r="192" spans="2:34" x14ac:dyDescent="0.2">
      <c r="B192" s="4">
        <v>2025</v>
      </c>
      <c r="C192" s="4">
        <v>18</v>
      </c>
      <c r="D192" s="4" t="s">
        <v>25</v>
      </c>
      <c r="E192" s="4" t="s">
        <v>38</v>
      </c>
      <c r="F192" s="4">
        <v>41</v>
      </c>
      <c r="G192" s="4">
        <v>7</v>
      </c>
      <c r="H192" s="8">
        <v>0.79936369626048986</v>
      </c>
      <c r="I192" s="4">
        <v>-398</v>
      </c>
      <c r="J192" s="8">
        <v>0.20063630373951011</v>
      </c>
      <c r="K192" s="4">
        <v>398</v>
      </c>
      <c r="L192" s="4" t="s">
        <v>25</v>
      </c>
      <c r="M192" s="4" t="s">
        <v>25</v>
      </c>
      <c r="N192" s="4">
        <v>1</v>
      </c>
      <c r="O192" s="15">
        <v>28.92424277199223</v>
      </c>
      <c r="P192" s="15">
        <v>16.86055778435728</v>
      </c>
      <c r="Q192" s="4">
        <v>12.5</v>
      </c>
      <c r="R192" s="15">
        <v>12.063684987634939</v>
      </c>
      <c r="S192" s="4" t="s">
        <v>138</v>
      </c>
      <c r="T192" s="4">
        <v>34</v>
      </c>
      <c r="U192" s="4" t="s">
        <v>139</v>
      </c>
      <c r="V192" s="4">
        <v>0</v>
      </c>
      <c r="W192" s="4">
        <v>47.5</v>
      </c>
      <c r="X192" s="9">
        <v>45.784800556349509</v>
      </c>
      <c r="Y192" s="4" t="s">
        <v>141</v>
      </c>
      <c r="Z192" s="4">
        <v>48</v>
      </c>
      <c r="AA192" s="4" t="s">
        <v>140</v>
      </c>
      <c r="AB192" s="4">
        <v>0</v>
      </c>
      <c r="AC192" s="5">
        <v>0.25045689221086181</v>
      </c>
      <c r="AD192" s="5">
        <v>0.36189835159866901</v>
      </c>
      <c r="AE192" s="5">
        <v>0.15228544748746431</v>
      </c>
      <c r="AF192" s="5">
        <v>-0.36189835159866901</v>
      </c>
      <c r="AG192" s="5">
        <v>-0.25045689221086181</v>
      </c>
      <c r="AH192" s="5">
        <v>-0.15228544748746431</v>
      </c>
    </row>
    <row r="193" spans="2:34" x14ac:dyDescent="0.2">
      <c r="B193" s="4">
        <v>2025</v>
      </c>
      <c r="C193" s="4">
        <v>18</v>
      </c>
      <c r="D193" s="4" t="s">
        <v>77</v>
      </c>
      <c r="E193" s="4" t="s">
        <v>40</v>
      </c>
      <c r="F193" s="4">
        <v>16</v>
      </c>
      <c r="G193" s="4">
        <v>3</v>
      </c>
      <c r="H193" s="8">
        <v>0.45750746688545318</v>
      </c>
      <c r="I193" s="4">
        <v>118</v>
      </c>
      <c r="J193" s="8">
        <v>0.54249253311454682</v>
      </c>
      <c r="K193" s="4">
        <v>-118</v>
      </c>
      <c r="L193" s="4" t="s">
        <v>40</v>
      </c>
      <c r="M193" s="4" t="s">
        <v>77</v>
      </c>
      <c r="N193" s="4">
        <v>0</v>
      </c>
      <c r="O193" s="15">
        <v>21.88287117602297</v>
      </c>
      <c r="P193" s="15">
        <v>22.574200537906322</v>
      </c>
      <c r="Q193" s="4">
        <v>7.5</v>
      </c>
      <c r="R193" s="9">
        <v>-0.69132936188335492</v>
      </c>
      <c r="S193" s="4" t="s">
        <v>138</v>
      </c>
      <c r="T193" s="4">
        <v>13</v>
      </c>
      <c r="U193" s="4" t="s">
        <v>139</v>
      </c>
      <c r="V193" s="4">
        <v>0</v>
      </c>
      <c r="W193" s="4">
        <v>35.5</v>
      </c>
      <c r="X193" s="9">
        <v>44.457071713929288</v>
      </c>
      <c r="Y193" s="4" t="s">
        <v>140</v>
      </c>
      <c r="Z193" s="4">
        <v>19</v>
      </c>
      <c r="AA193" s="4" t="s">
        <v>141</v>
      </c>
      <c r="AB193" s="4">
        <v>0</v>
      </c>
      <c r="AC193" s="5">
        <v>1.475566002859998E-2</v>
      </c>
      <c r="AD193" s="5">
        <v>0.31598213195800778</v>
      </c>
      <c r="AE193" s="5">
        <v>-8.1225872039794922E-2</v>
      </c>
      <c r="AF193" s="5">
        <v>-0.31598213195800778</v>
      </c>
      <c r="AG193" s="5">
        <v>-1.475566002859998E-2</v>
      </c>
      <c r="AH193" s="5">
        <v>8.1225872039794922E-2</v>
      </c>
    </row>
    <row r="194" spans="2:34" x14ac:dyDescent="0.2">
      <c r="B194" s="4">
        <v>2025</v>
      </c>
      <c r="C194" s="4">
        <v>18</v>
      </c>
      <c r="D194" s="4" t="s">
        <v>10</v>
      </c>
      <c r="E194" s="4" t="s">
        <v>20</v>
      </c>
      <c r="F194" s="4">
        <v>34</v>
      </c>
      <c r="G194" s="4">
        <v>17</v>
      </c>
      <c r="H194" s="8">
        <v>0.46268494173873681</v>
      </c>
      <c r="I194" s="4">
        <v>116</v>
      </c>
      <c r="J194" s="8">
        <v>0.53731505826126313</v>
      </c>
      <c r="K194" s="4">
        <v>-116</v>
      </c>
      <c r="L194" s="4" t="s">
        <v>20</v>
      </c>
      <c r="M194" s="4" t="s">
        <v>10</v>
      </c>
      <c r="N194" s="4">
        <v>0</v>
      </c>
      <c r="O194" s="15">
        <v>22.235217812779322</v>
      </c>
      <c r="P194" s="15">
        <v>24.724894899377698</v>
      </c>
      <c r="Q194" s="4">
        <v>-3.5</v>
      </c>
      <c r="R194" s="15">
        <v>-2.4896770865983799</v>
      </c>
      <c r="S194" s="4" t="s">
        <v>139</v>
      </c>
      <c r="T194" s="4">
        <v>17</v>
      </c>
      <c r="U194" s="4" t="s">
        <v>139</v>
      </c>
      <c r="V194" s="4">
        <v>1</v>
      </c>
      <c r="W194" s="4">
        <v>51.5</v>
      </c>
      <c r="X194" s="9">
        <v>46.960112712157027</v>
      </c>
      <c r="Y194" s="4" t="s">
        <v>141</v>
      </c>
      <c r="Z194" s="4">
        <v>51</v>
      </c>
      <c r="AA194" s="4" t="s">
        <v>141</v>
      </c>
      <c r="AB194" s="4">
        <v>1</v>
      </c>
      <c r="AC194" s="5">
        <v>0.1154069513887972</v>
      </c>
      <c r="AD194" s="5">
        <v>8.9342214443065504E-2</v>
      </c>
      <c r="AE194" s="5">
        <v>0.21678714950879421</v>
      </c>
      <c r="AF194" s="5">
        <v>-8.9342214443065504E-2</v>
      </c>
      <c r="AG194" s="5">
        <v>-0.1154069513887972</v>
      </c>
      <c r="AH194" s="5">
        <v>-0.21678714950879421</v>
      </c>
    </row>
    <row r="195" spans="2:34" x14ac:dyDescent="0.2">
      <c r="B195" s="4">
        <v>2025</v>
      </c>
      <c r="C195" s="4">
        <v>18</v>
      </c>
      <c r="D195" s="4" t="s">
        <v>50</v>
      </c>
      <c r="E195" s="4" t="s">
        <v>13</v>
      </c>
      <c r="F195" s="4">
        <v>35</v>
      </c>
      <c r="G195" s="4">
        <v>8</v>
      </c>
      <c r="H195" s="8">
        <v>0.8305133460115266</v>
      </c>
      <c r="I195" s="4">
        <v>-490</v>
      </c>
      <c r="J195" s="8">
        <v>0.1694866539884734</v>
      </c>
      <c r="K195" s="4">
        <v>490</v>
      </c>
      <c r="L195" s="4" t="s">
        <v>50</v>
      </c>
      <c r="M195" s="4" t="s">
        <v>50</v>
      </c>
      <c r="N195" s="4">
        <v>1</v>
      </c>
      <c r="O195" s="15">
        <v>28.396399630011821</v>
      </c>
      <c r="P195" s="15">
        <v>15.88439993258806</v>
      </c>
      <c r="Q195" s="4">
        <v>7</v>
      </c>
      <c r="R195" s="9">
        <v>12.51199969742375</v>
      </c>
      <c r="S195" s="4" t="s">
        <v>139</v>
      </c>
      <c r="T195" s="4">
        <v>27</v>
      </c>
      <c r="U195" s="4" t="s">
        <v>139</v>
      </c>
      <c r="V195" s="4">
        <v>1</v>
      </c>
      <c r="W195" s="4">
        <v>38.5</v>
      </c>
      <c r="X195" s="9">
        <v>44.280799562599881</v>
      </c>
      <c r="Y195" s="4" t="s">
        <v>140</v>
      </c>
      <c r="Z195" s="4">
        <v>43</v>
      </c>
      <c r="AA195" s="4" t="s">
        <v>140</v>
      </c>
      <c r="AB195" s="4">
        <v>1</v>
      </c>
      <c r="AC195" s="5">
        <v>0.33919749052628229</v>
      </c>
      <c r="AD195" s="5">
        <v>0.2842603766399881</v>
      </c>
      <c r="AE195" s="5">
        <v>-0.2122704794532374</v>
      </c>
      <c r="AF195" s="5">
        <v>-0.2842603766399881</v>
      </c>
      <c r="AG195" s="5">
        <v>-0.33919749052628229</v>
      </c>
      <c r="AH195" s="5">
        <v>0.2122704794532374</v>
      </c>
    </row>
    <row r="196" spans="2:34" x14ac:dyDescent="0.2">
      <c r="B196" s="4">
        <v>2025</v>
      </c>
      <c r="C196" s="4">
        <v>18</v>
      </c>
      <c r="D196" s="4" t="s">
        <v>53</v>
      </c>
      <c r="E196" s="4" t="s">
        <v>47</v>
      </c>
      <c r="F196" s="4">
        <v>16</v>
      </c>
      <c r="G196" s="4">
        <v>19</v>
      </c>
      <c r="H196" s="8">
        <v>0.60651137512081821</v>
      </c>
      <c r="I196" s="4">
        <v>-154</v>
      </c>
      <c r="J196" s="8">
        <v>0.39348862487918179</v>
      </c>
      <c r="K196" s="4">
        <v>154</v>
      </c>
      <c r="L196" s="4" t="s">
        <v>53</v>
      </c>
      <c r="M196" s="4" t="s">
        <v>47</v>
      </c>
      <c r="N196" s="4">
        <v>0</v>
      </c>
      <c r="O196" s="15">
        <v>26.088516294902011</v>
      </c>
      <c r="P196" s="15">
        <v>24.24751712056343</v>
      </c>
      <c r="Q196" s="4">
        <v>3</v>
      </c>
      <c r="R196" s="9">
        <v>1.840999174338577</v>
      </c>
      <c r="S196" s="4" t="s">
        <v>138</v>
      </c>
      <c r="T196" s="4">
        <v>-3</v>
      </c>
      <c r="U196" s="4" t="s">
        <v>138</v>
      </c>
      <c r="V196" s="4">
        <v>1</v>
      </c>
      <c r="W196" s="4">
        <v>50.5</v>
      </c>
      <c r="X196" s="9">
        <v>50.336033415465437</v>
      </c>
      <c r="Y196" s="4" t="s">
        <v>141</v>
      </c>
      <c r="Z196" s="4">
        <v>35</v>
      </c>
      <c r="AA196" s="4" t="s">
        <v>141</v>
      </c>
      <c r="AB196" s="4">
        <v>1</v>
      </c>
      <c r="AC196" s="5">
        <v>-4.3949065905696943E-3</v>
      </c>
      <c r="AD196" s="5">
        <v>-0.1264523414716329</v>
      </c>
      <c r="AE196" s="5">
        <v>0.13135414231907239</v>
      </c>
      <c r="AF196" s="5">
        <v>0.1264523414716329</v>
      </c>
      <c r="AG196" s="5">
        <v>4.3949065905696943E-3</v>
      </c>
      <c r="AH196" s="5">
        <v>-0.13135414231907239</v>
      </c>
    </row>
    <row r="197" spans="2:34" x14ac:dyDescent="0.2">
      <c r="B197" s="4">
        <v>2025</v>
      </c>
      <c r="C197" s="4">
        <v>18</v>
      </c>
      <c r="D197" s="4" t="s">
        <v>14</v>
      </c>
      <c r="E197" s="4" t="s">
        <v>29</v>
      </c>
      <c r="F197" s="4">
        <v>19</v>
      </c>
      <c r="G197" s="4">
        <v>3</v>
      </c>
      <c r="H197" s="8">
        <v>0.53324335709005655</v>
      </c>
      <c r="I197" s="4">
        <v>-114</v>
      </c>
      <c r="J197" s="8">
        <v>0.46675664290994351</v>
      </c>
      <c r="K197" s="4">
        <v>114</v>
      </c>
      <c r="L197" s="4" t="s">
        <v>14</v>
      </c>
      <c r="M197" s="4" t="s">
        <v>14</v>
      </c>
      <c r="N197" s="4">
        <v>1</v>
      </c>
      <c r="O197" s="15">
        <v>23.164765347823149</v>
      </c>
      <c r="P197" s="15">
        <v>21.727382908323669</v>
      </c>
      <c r="Q197" s="4">
        <v>12.5</v>
      </c>
      <c r="R197" s="15">
        <v>1.4373824394994761</v>
      </c>
      <c r="S197" s="4" t="s">
        <v>138</v>
      </c>
      <c r="T197" s="4">
        <v>16</v>
      </c>
      <c r="U197" s="4" t="s">
        <v>139</v>
      </c>
      <c r="V197" s="4">
        <v>0</v>
      </c>
      <c r="W197" s="4">
        <v>37.5</v>
      </c>
      <c r="X197" s="9">
        <v>44.892148256146811</v>
      </c>
      <c r="Y197" s="4" t="s">
        <v>140</v>
      </c>
      <c r="Z197" s="4">
        <v>22</v>
      </c>
      <c r="AA197" s="4" t="s">
        <v>141</v>
      </c>
      <c r="AB197" s="4">
        <v>0</v>
      </c>
      <c r="AC197" s="5">
        <v>-0.1939274135388826</v>
      </c>
      <c r="AD197" s="5">
        <v>0.42070012934067669</v>
      </c>
      <c r="AE197" s="5">
        <v>-1.952468907391583E-2</v>
      </c>
      <c r="AF197" s="5">
        <v>-0.42070012934067669</v>
      </c>
      <c r="AG197" s="5">
        <v>0.1939274135388826</v>
      </c>
      <c r="AH197" s="5">
        <v>1.952468907391583E-2</v>
      </c>
    </row>
    <row r="198" spans="2:34" x14ac:dyDescent="0.2">
      <c r="B198" s="4">
        <v>2025</v>
      </c>
      <c r="C198" s="4">
        <v>18</v>
      </c>
      <c r="D198" s="4" t="s">
        <v>17</v>
      </c>
      <c r="E198" s="4" t="s">
        <v>23</v>
      </c>
      <c r="F198" s="4">
        <v>37</v>
      </c>
      <c r="G198" s="4">
        <v>20</v>
      </c>
      <c r="H198" s="8">
        <v>0.81384823395549688</v>
      </c>
      <c r="I198" s="4">
        <v>-437</v>
      </c>
      <c r="J198" s="8">
        <v>0.18615176604450309</v>
      </c>
      <c r="K198" s="4">
        <v>437</v>
      </c>
      <c r="L198" s="4" t="s">
        <v>17</v>
      </c>
      <c r="M198" s="4" t="s">
        <v>17</v>
      </c>
      <c r="N198" s="4">
        <v>1</v>
      </c>
      <c r="O198" s="15">
        <v>30.905485139186009</v>
      </c>
      <c r="P198" s="15">
        <v>18.61532459110186</v>
      </c>
      <c r="Q198" s="4">
        <v>7.5</v>
      </c>
      <c r="R198" s="9">
        <v>12.290160548084151</v>
      </c>
      <c r="S198" s="4" t="s">
        <v>139</v>
      </c>
      <c r="T198" s="4">
        <v>17</v>
      </c>
      <c r="U198" s="4" t="s">
        <v>139</v>
      </c>
      <c r="V198" s="4">
        <v>1</v>
      </c>
      <c r="W198" s="4">
        <v>46.5</v>
      </c>
      <c r="X198" s="9">
        <v>49.520809730287873</v>
      </c>
      <c r="Y198" s="4" t="s">
        <v>140</v>
      </c>
      <c r="Z198" s="4">
        <v>57</v>
      </c>
      <c r="AA198" s="4" t="s">
        <v>140</v>
      </c>
      <c r="AB198" s="4">
        <v>1</v>
      </c>
      <c r="AC198" s="5">
        <v>0.2202407541409345</v>
      </c>
      <c r="AD198" s="5">
        <v>2.6646969573838369E-2</v>
      </c>
      <c r="AE198" s="5">
        <v>-1.7873119424890591E-2</v>
      </c>
      <c r="AF198" s="5">
        <v>-2.6646969573838369E-2</v>
      </c>
      <c r="AG198" s="5">
        <v>-0.2202407541409345</v>
      </c>
      <c r="AH198" s="5">
        <v>1.7873119424890591E-2</v>
      </c>
    </row>
    <row r="199" spans="2:34" x14ac:dyDescent="0.2">
      <c r="B199" s="4">
        <v>2025</v>
      </c>
      <c r="C199" s="4">
        <v>18</v>
      </c>
      <c r="D199" s="4" t="s">
        <v>37</v>
      </c>
      <c r="E199" s="4" t="s">
        <v>46</v>
      </c>
      <c r="F199" s="4">
        <v>14</v>
      </c>
      <c r="G199" s="4">
        <v>12</v>
      </c>
      <c r="H199" s="8">
        <v>0.23667107572911189</v>
      </c>
      <c r="I199" s="4">
        <v>322</v>
      </c>
      <c r="J199" s="8">
        <v>0.76332892427088817</v>
      </c>
      <c r="K199" s="4">
        <v>-322</v>
      </c>
      <c r="L199" s="4" t="s">
        <v>46</v>
      </c>
      <c r="M199" s="4" t="s">
        <v>37</v>
      </c>
      <c r="N199" s="4">
        <v>0</v>
      </c>
      <c r="O199" s="15">
        <v>13.489612544682471</v>
      </c>
      <c r="P199" s="15">
        <v>25.643059377796028</v>
      </c>
      <c r="Q199" s="4">
        <v>-5.5</v>
      </c>
      <c r="R199" s="9">
        <v>-12.153446833113559</v>
      </c>
      <c r="S199" s="4" t="s">
        <v>138</v>
      </c>
      <c r="T199" s="4">
        <v>2</v>
      </c>
      <c r="U199" s="4" t="s">
        <v>139</v>
      </c>
      <c r="V199" s="4">
        <v>0</v>
      </c>
      <c r="W199" s="4">
        <v>36.5</v>
      </c>
      <c r="X199" s="9">
        <v>39.132671922478487</v>
      </c>
      <c r="Y199" s="4" t="s">
        <v>140</v>
      </c>
      <c r="Z199" s="4">
        <v>26</v>
      </c>
      <c r="AA199" s="4" t="s">
        <v>141</v>
      </c>
      <c r="AB199" s="4">
        <v>0</v>
      </c>
      <c r="AC199" s="5">
        <v>-0.45686231340680811</v>
      </c>
      <c r="AD199" s="5">
        <v>0.47610270977020258</v>
      </c>
      <c r="AE199" s="5">
        <v>-8.1185160144682855E-2</v>
      </c>
      <c r="AF199" s="5">
        <v>-0.47610270977020258</v>
      </c>
      <c r="AG199" s="5">
        <v>0.45686231340680811</v>
      </c>
      <c r="AH199" s="5">
        <v>8.1185160144682855E-2</v>
      </c>
    </row>
    <row r="200" spans="2:34" x14ac:dyDescent="0.2">
      <c r="B200" s="4">
        <v>2025</v>
      </c>
      <c r="C200" s="4">
        <v>18</v>
      </c>
      <c r="D200" s="4" t="s">
        <v>32</v>
      </c>
      <c r="E200" s="4" t="s">
        <v>28</v>
      </c>
      <c r="F200" s="4">
        <v>38</v>
      </c>
      <c r="G200" s="4">
        <v>10</v>
      </c>
      <c r="H200" s="8">
        <v>0.74870152000406931</v>
      </c>
      <c r="I200" s="4">
        <v>-297</v>
      </c>
      <c r="J200" s="8">
        <v>0.25129847999593069</v>
      </c>
      <c r="K200" s="4">
        <v>297</v>
      </c>
      <c r="L200" s="4" t="s">
        <v>32</v>
      </c>
      <c r="M200" s="4" t="s">
        <v>32</v>
      </c>
      <c r="N200" s="4">
        <v>1</v>
      </c>
      <c r="O200" s="9">
        <v>30.075581822722199</v>
      </c>
      <c r="P200" s="15">
        <v>19.747653641316589</v>
      </c>
      <c r="Q200" s="4">
        <v>10.5</v>
      </c>
      <c r="R200" s="9">
        <v>10.3279281814056</v>
      </c>
      <c r="S200" s="4" t="s">
        <v>138</v>
      </c>
      <c r="T200" s="4">
        <v>28</v>
      </c>
      <c r="U200" s="4" t="s">
        <v>139</v>
      </c>
      <c r="V200" s="4">
        <v>0</v>
      </c>
      <c r="W200" s="4">
        <v>45.5</v>
      </c>
      <c r="X200" s="9">
        <v>49.823235464038788</v>
      </c>
      <c r="Y200" s="4" t="s">
        <v>140</v>
      </c>
      <c r="Z200" s="4">
        <v>48</v>
      </c>
      <c r="AA200" s="4" t="s">
        <v>140</v>
      </c>
      <c r="AB200" s="4">
        <v>1</v>
      </c>
      <c r="AC200" s="5">
        <v>0.32397203278123288</v>
      </c>
      <c r="AD200" s="5">
        <v>0.31436092512948172</v>
      </c>
      <c r="AE200" s="5">
        <v>-7.6890102139225716E-2</v>
      </c>
      <c r="AF200" s="5">
        <v>-0.31436092512948172</v>
      </c>
      <c r="AG200" s="5">
        <v>-0.32397203278123288</v>
      </c>
      <c r="AH200" s="5">
        <v>7.6890102139225716E-2</v>
      </c>
    </row>
    <row r="201" spans="2:34" x14ac:dyDescent="0.2">
      <c r="B201" s="4">
        <v>2025</v>
      </c>
      <c r="C201" s="4">
        <v>18</v>
      </c>
      <c r="D201" s="4" t="s">
        <v>11</v>
      </c>
      <c r="E201" s="4" t="s">
        <v>52</v>
      </c>
      <c r="F201" s="4">
        <v>17</v>
      </c>
      <c r="G201" s="4">
        <v>24</v>
      </c>
      <c r="H201" s="8">
        <v>0.70480469602802465</v>
      </c>
      <c r="I201" s="4">
        <v>-238</v>
      </c>
      <c r="J201" s="8">
        <v>0.29519530397197541</v>
      </c>
      <c r="K201" s="4">
        <v>238</v>
      </c>
      <c r="L201" s="4" t="s">
        <v>11</v>
      </c>
      <c r="M201" s="4" t="s">
        <v>52</v>
      </c>
      <c r="N201" s="4">
        <v>0</v>
      </c>
      <c r="O201" s="9">
        <v>26.189862456781221</v>
      </c>
      <c r="P201" s="15">
        <v>19.81586437078397</v>
      </c>
      <c r="Q201" s="4">
        <v>4.5</v>
      </c>
      <c r="R201" s="9">
        <v>6.3739980859972576</v>
      </c>
      <c r="S201" s="4" t="s">
        <v>139</v>
      </c>
      <c r="T201" s="4">
        <v>-7</v>
      </c>
      <c r="U201" s="4" t="s">
        <v>138</v>
      </c>
      <c r="V201" s="4">
        <v>0</v>
      </c>
      <c r="W201" s="4">
        <v>38.5</v>
      </c>
      <c r="X201" s="9">
        <v>46.005726827565191</v>
      </c>
      <c r="Y201" s="4" t="s">
        <v>140</v>
      </c>
      <c r="Z201" s="4">
        <v>41</v>
      </c>
      <c r="AA201" s="4" t="s">
        <v>140</v>
      </c>
      <c r="AB201" s="4">
        <v>1</v>
      </c>
      <c r="AC201" s="5">
        <v>-8.6598269641399384E-2</v>
      </c>
      <c r="AD201" s="5">
        <v>-0.1271072643906323</v>
      </c>
      <c r="AE201" s="5">
        <v>0.11109153790907431</v>
      </c>
      <c r="AF201" s="5">
        <v>0.1271072643906323</v>
      </c>
      <c r="AG201" s="5">
        <v>8.6598269641399384E-2</v>
      </c>
      <c r="AH201" s="5">
        <v>-0.11109153790907431</v>
      </c>
    </row>
    <row r="202" spans="2:34" x14ac:dyDescent="0.2">
      <c r="B202" s="4">
        <v>2025</v>
      </c>
      <c r="C202" s="4">
        <v>18</v>
      </c>
      <c r="D202" s="4" t="s">
        <v>34</v>
      </c>
      <c r="E202" s="4" t="s">
        <v>16</v>
      </c>
      <c r="F202" s="4">
        <v>26</v>
      </c>
      <c r="G202" s="4">
        <v>24</v>
      </c>
      <c r="H202" s="8">
        <v>0.49279668363379742</v>
      </c>
      <c r="I202" s="4">
        <v>102</v>
      </c>
      <c r="J202" s="8">
        <v>0.50720331636620264</v>
      </c>
      <c r="K202" s="4">
        <v>-102</v>
      </c>
      <c r="L202" s="4" t="s">
        <v>16</v>
      </c>
      <c r="M202" s="4" t="s">
        <v>34</v>
      </c>
      <c r="N202" s="4">
        <v>0</v>
      </c>
      <c r="O202" s="9">
        <v>23.145400712847241</v>
      </c>
      <c r="P202" s="15">
        <v>22.175801719287058</v>
      </c>
      <c r="Q202" s="4">
        <v>-3.5</v>
      </c>
      <c r="R202" s="9">
        <v>0.96959899356018298</v>
      </c>
      <c r="S202" s="4" t="s">
        <v>139</v>
      </c>
      <c r="T202" s="4">
        <v>2</v>
      </c>
      <c r="U202" s="4" t="s">
        <v>139</v>
      </c>
      <c r="V202" s="4">
        <v>1</v>
      </c>
      <c r="W202" s="4">
        <v>40.5</v>
      </c>
      <c r="X202" s="9">
        <v>45.321202432134307</v>
      </c>
      <c r="Y202" s="4" t="s">
        <v>140</v>
      </c>
      <c r="Z202" s="4">
        <v>50</v>
      </c>
      <c r="AA202" s="4" t="s">
        <v>140</v>
      </c>
      <c r="AB202" s="4">
        <v>1</v>
      </c>
      <c r="AC202" s="5">
        <v>5.1401243209838868E-2</v>
      </c>
      <c r="AD202" s="5">
        <v>-0.14020941734313969</v>
      </c>
      <c r="AE202" s="5">
        <v>0.16552998338426861</v>
      </c>
      <c r="AF202" s="5">
        <v>0.14020941734313969</v>
      </c>
      <c r="AG202" s="5">
        <v>-5.1401243209838868E-2</v>
      </c>
      <c r="AH202" s="5">
        <v>-0.16552998338426861</v>
      </c>
    </row>
  </sheetData>
  <mergeCells count="6">
    <mergeCell ref="AF7:AH7"/>
    <mergeCell ref="H7:N7"/>
    <mergeCell ref="O7:P7"/>
    <mergeCell ref="Q7:V7"/>
    <mergeCell ref="W7:AB7"/>
    <mergeCell ref="AC7:AE7"/>
  </mergeCells>
  <conditionalFormatting sqref="AC9:AC23"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24:AC38"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9:AC51"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52:AC65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66:AC79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80:AC94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95:AC108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09:AC124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25:AC13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39:AC154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55:AC170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71:AC186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9:AD23"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24:AD38"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9:AD51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52:AD65"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66:AD79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80:AD94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95:AD108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09:AD124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25:AD13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39:AD154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55:AD170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71:AD186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9:AE23"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4:AE38"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39:AE51"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52:AE65"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66:AE79"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80:AE94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95:AE108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09:AE124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25:AE13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39:AE154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55:AE170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71:AE186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9:AF23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24:AF38"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39:AF51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52:AF65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66:AF7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80:AF94"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95:AF108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09:AF124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25:AF13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39:AF154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55:AF17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71:AF186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9:AG23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24:AG38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39:AG51"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52:AG65"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66:AG79"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80:AG94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95:AG108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09:AG124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25:AG13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39:AG154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55:AG170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71:AG186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9:AH23"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24:AH38"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39:AH51"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52:AH65"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66:AH79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80:AH94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95:AH108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09:AH124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25:AH13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39:AH154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55:AH170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71:AH18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87:AC20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87:AD20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87:AE20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87:AF20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87:AG20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87:AH202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ignoredErrors>
    <ignoredError sqref="I9:I38 K11:K38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2" id="{EDEA8277-96E2-534B-9496-1DB5484BFD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N80:N94</xm:sqref>
        </x14:conditionalFormatting>
        <x14:conditionalFormatting xmlns:xm="http://schemas.microsoft.com/office/excel/2006/main">
          <x14:cfRule type="iconSet" priority="55" id="{DD4EF5CC-2E62-F245-AF58-2756E5752F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N95:N108</xm:sqref>
        </x14:conditionalFormatting>
        <x14:conditionalFormatting xmlns:xm="http://schemas.microsoft.com/office/excel/2006/main">
          <x14:cfRule type="iconSet" priority="46" id="{37C61786-4A12-0746-A763-4990B69F05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N109:N124</xm:sqref>
        </x14:conditionalFormatting>
        <x14:conditionalFormatting xmlns:xm="http://schemas.microsoft.com/office/excel/2006/main">
          <x14:cfRule type="iconSet" priority="37" id="{212E7F37-E966-AF4F-A0C3-E0E8E13407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N125:N138</xm:sqref>
        </x14:conditionalFormatting>
        <x14:conditionalFormatting xmlns:xm="http://schemas.microsoft.com/office/excel/2006/main">
          <x14:cfRule type="iconSet" priority="28" id="{9742010F-AC5F-C647-A8CE-71E3275DF1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N139:N154</xm:sqref>
        </x14:conditionalFormatting>
        <x14:conditionalFormatting xmlns:xm="http://schemas.microsoft.com/office/excel/2006/main">
          <x14:cfRule type="iconSet" priority="19" id="{53BBD899-D2C8-074A-936B-361D7C508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N155:N170</xm:sqref>
        </x14:conditionalFormatting>
        <x14:conditionalFormatting xmlns:xm="http://schemas.microsoft.com/office/excel/2006/main">
          <x14:cfRule type="iconSet" priority="10" id="{A12D9CF1-1026-094B-90AD-EA1CA9A2D9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N171:N186</xm:sqref>
        </x14:conditionalFormatting>
        <x14:conditionalFormatting xmlns:xm="http://schemas.microsoft.com/office/excel/2006/main">
          <x14:cfRule type="iconSet" priority="94" id="{48C4D57C-361D-AB47-A2B7-3D4E42CE61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N24:AA38</xm:sqref>
        </x14:conditionalFormatting>
        <x14:conditionalFormatting xmlns:xm="http://schemas.microsoft.com/office/excel/2006/main">
          <x14:cfRule type="iconSet" priority="87" id="{C3D59626-8CA7-8645-8330-0E71AB30C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N39:AA51</xm:sqref>
        </x14:conditionalFormatting>
        <x14:conditionalFormatting xmlns:xm="http://schemas.microsoft.com/office/excel/2006/main">
          <x14:cfRule type="iconSet" priority="80" id="{6D153A18-6D77-9445-BF8D-3BA4EDDD3F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N52:AA65</xm:sqref>
        </x14:conditionalFormatting>
        <x14:conditionalFormatting xmlns:xm="http://schemas.microsoft.com/office/excel/2006/main">
          <x14:cfRule type="iconSet" priority="73" id="{C34C5491-7DF8-D04C-B3C0-3779DAAA33E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N66:AA79</xm:sqref>
        </x14:conditionalFormatting>
        <x14:conditionalFormatting xmlns:xm="http://schemas.microsoft.com/office/excel/2006/main">
          <x14:cfRule type="iconSet" priority="101" id="{4DC6D28C-E799-D04F-BAD2-092B8419C0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N9:AB23</xm:sqref>
        </x14:conditionalFormatting>
        <x14:conditionalFormatting xmlns:xm="http://schemas.microsoft.com/office/excel/2006/main">
          <x14:cfRule type="iconSet" priority="65" id="{92AD66C2-D91E-D648-9AC6-2417C2445C4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V80:V94</xm:sqref>
        </x14:conditionalFormatting>
        <x14:conditionalFormatting xmlns:xm="http://schemas.microsoft.com/office/excel/2006/main">
          <x14:cfRule type="iconSet" priority="56" id="{2D523F71-4BB4-9940-8B5D-C962CA9D6F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V95:V108</xm:sqref>
        </x14:conditionalFormatting>
        <x14:conditionalFormatting xmlns:xm="http://schemas.microsoft.com/office/excel/2006/main">
          <x14:cfRule type="iconSet" priority="47" id="{2094B9A9-658A-3D41-A969-4F7B5F1A7D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V109:V124</xm:sqref>
        </x14:conditionalFormatting>
        <x14:conditionalFormatting xmlns:xm="http://schemas.microsoft.com/office/excel/2006/main">
          <x14:cfRule type="iconSet" priority="38" id="{7AD482D6-AFFD-C546-9642-22AC15E7177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V125:V138</xm:sqref>
        </x14:conditionalFormatting>
        <x14:conditionalFormatting xmlns:xm="http://schemas.microsoft.com/office/excel/2006/main">
          <x14:cfRule type="iconSet" priority="29" id="{3B475BB3-A842-F24C-8D71-84FCC9C136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V139:V154</xm:sqref>
        </x14:conditionalFormatting>
        <x14:conditionalFormatting xmlns:xm="http://schemas.microsoft.com/office/excel/2006/main">
          <x14:cfRule type="iconSet" priority="20" id="{ADD77C7B-8E6B-7A48-8AAC-8A63FE24FF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V155:V170</xm:sqref>
        </x14:conditionalFormatting>
        <x14:conditionalFormatting xmlns:xm="http://schemas.microsoft.com/office/excel/2006/main">
          <x14:cfRule type="iconSet" priority="11" id="{17F128E4-E069-B54E-9112-2E64042DD7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V171:V186</xm:sqref>
        </x14:conditionalFormatting>
        <x14:conditionalFormatting xmlns:xm="http://schemas.microsoft.com/office/excel/2006/main">
          <x14:cfRule type="iconSet" priority="64" id="{409D8166-545E-3045-805D-7C96DC6956B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AB80:AB94</xm:sqref>
        </x14:conditionalFormatting>
        <x14:conditionalFormatting xmlns:xm="http://schemas.microsoft.com/office/excel/2006/main">
          <x14:cfRule type="iconSet" priority="57" id="{578139A0-9556-A24C-89D1-3B66D89331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AB95:AB108</xm:sqref>
        </x14:conditionalFormatting>
        <x14:conditionalFormatting xmlns:xm="http://schemas.microsoft.com/office/excel/2006/main">
          <x14:cfRule type="iconSet" priority="48" id="{869A3731-7EDB-9143-AD0D-591DEB781BA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AB109:AB124</xm:sqref>
        </x14:conditionalFormatting>
        <x14:conditionalFormatting xmlns:xm="http://schemas.microsoft.com/office/excel/2006/main">
          <x14:cfRule type="iconSet" priority="39" id="{90EFE230-91F0-784C-B726-5BE6F84EE2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AB125:AB138</xm:sqref>
        </x14:conditionalFormatting>
        <x14:conditionalFormatting xmlns:xm="http://schemas.microsoft.com/office/excel/2006/main">
          <x14:cfRule type="iconSet" priority="30" id="{7941D79E-AD1D-3F44-8D4F-313B45BDFD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AB139:AB154</xm:sqref>
        </x14:conditionalFormatting>
        <x14:conditionalFormatting xmlns:xm="http://schemas.microsoft.com/office/excel/2006/main">
          <x14:cfRule type="iconSet" priority="21" id="{DEBE5BDC-29DE-8246-9122-5A2B43CD92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AB155:AB170</xm:sqref>
        </x14:conditionalFormatting>
        <x14:conditionalFormatting xmlns:xm="http://schemas.microsoft.com/office/excel/2006/main">
          <x14:cfRule type="iconSet" priority="12" id="{6EF58D86-81A1-CC4C-B5CF-2174EDC27A2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AB171:AB186</xm:sqref>
        </x14:conditionalFormatting>
        <x14:conditionalFormatting xmlns:xm="http://schemas.microsoft.com/office/excel/2006/main">
          <x14:cfRule type="iconSet" priority="1" id="{45E17C71-3C4A-9248-8E64-529100B002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N187:N202</xm:sqref>
        </x14:conditionalFormatting>
        <x14:conditionalFormatting xmlns:xm="http://schemas.microsoft.com/office/excel/2006/main">
          <x14:cfRule type="iconSet" priority="2" id="{DAD5E8EA-F4DA-7E4E-9FFA-52F388734A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V187:V202</xm:sqref>
        </x14:conditionalFormatting>
        <x14:conditionalFormatting xmlns:xm="http://schemas.microsoft.com/office/excel/2006/main">
          <x14:cfRule type="iconSet" priority="3" id="{18ED4D56-16D4-3E4D-8DB7-26B21E81C1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AB187:AB202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7922-17FD-3446-ABDB-5FDED8A662DF}">
  <dimension ref="B2:F47"/>
  <sheetViews>
    <sheetView topLeftCell="A29" workbookViewId="0">
      <selection activeCell="G12" sqref="G12"/>
    </sheetView>
  </sheetViews>
  <sheetFormatPr baseColWidth="10" defaultRowHeight="15" x14ac:dyDescent="0.2"/>
  <sheetData>
    <row r="2" spans="2:6" x14ac:dyDescent="0.2">
      <c r="B2" s="18" t="s">
        <v>145</v>
      </c>
    </row>
    <row r="3" spans="2:6" x14ac:dyDescent="0.2">
      <c r="B3" s="16" t="s">
        <v>222</v>
      </c>
      <c r="C3" s="16" t="s">
        <v>63</v>
      </c>
      <c r="D3" s="16" t="s">
        <v>223</v>
      </c>
      <c r="E3" s="16" t="s">
        <v>224</v>
      </c>
      <c r="F3" s="16" t="s">
        <v>65</v>
      </c>
    </row>
    <row r="4" spans="2:6" x14ac:dyDescent="0.2">
      <c r="B4" cm="1">
        <f t="array" ref="B4:B16">_xlfn.UNIQUE(_xlfn._xlws.FILTER(Master!C9:C1000,NOT(ISBLANK(Master!C9:C1000))))</f>
        <v>6</v>
      </c>
      <c r="C4">
        <f>COUNTIFS(Master!C:C,'Weekly Record'!B4)</f>
        <v>15</v>
      </c>
      <c r="D4">
        <f>SUMIFS(Master!N:N, Master!C:C,'Weekly Record'!B4)</f>
        <v>9</v>
      </c>
      <c r="E4">
        <f>C4-D4</f>
        <v>6</v>
      </c>
      <c r="F4" s="12">
        <f>D4/C4</f>
        <v>0.6</v>
      </c>
    </row>
    <row r="5" spans="2:6" x14ac:dyDescent="0.2">
      <c r="B5">
        <v>7</v>
      </c>
      <c r="C5">
        <f>COUNTIFS(Master!C:C,'Weekly Record'!B5)</f>
        <v>15</v>
      </c>
      <c r="D5">
        <f>SUMIFS(Master!N:N, Master!C:C,'Weekly Record'!B5)</f>
        <v>12</v>
      </c>
      <c r="E5">
        <f t="shared" ref="E5:E13" si="0">C5-D5</f>
        <v>3</v>
      </c>
      <c r="F5" s="12">
        <f t="shared" ref="F5:F13" si="1">D5/C5</f>
        <v>0.8</v>
      </c>
    </row>
    <row r="6" spans="2:6" x14ac:dyDescent="0.2">
      <c r="B6">
        <v>8</v>
      </c>
      <c r="C6">
        <f>COUNTIFS(Master!C:C,'Weekly Record'!B6)</f>
        <v>13</v>
      </c>
      <c r="D6">
        <f>SUMIFS(Master!N:N, Master!C:C,'Weekly Record'!B6)</f>
        <v>11</v>
      </c>
      <c r="E6">
        <f t="shared" si="0"/>
        <v>2</v>
      </c>
      <c r="F6" s="12">
        <f t="shared" si="1"/>
        <v>0.84615384615384615</v>
      </c>
    </row>
    <row r="7" spans="2:6" x14ac:dyDescent="0.2">
      <c r="B7">
        <v>9</v>
      </c>
      <c r="C7">
        <f>COUNTIFS(Master!C:C,'Weekly Record'!B7)</f>
        <v>14</v>
      </c>
      <c r="D7">
        <f>SUMIFS(Master!N:N, Master!C:C,'Weekly Record'!B7)</f>
        <v>7</v>
      </c>
      <c r="E7">
        <f t="shared" si="0"/>
        <v>7</v>
      </c>
      <c r="F7" s="12">
        <f t="shared" si="1"/>
        <v>0.5</v>
      </c>
    </row>
    <row r="8" spans="2:6" x14ac:dyDescent="0.2">
      <c r="B8">
        <v>10</v>
      </c>
      <c r="C8">
        <f>COUNTIFS(Master!C:C,'Weekly Record'!B8)</f>
        <v>14</v>
      </c>
      <c r="D8">
        <f>SUMIFS(Master!N:N, Master!C:C,'Weekly Record'!B8)</f>
        <v>10</v>
      </c>
      <c r="E8">
        <f t="shared" si="0"/>
        <v>4</v>
      </c>
      <c r="F8" s="12">
        <f t="shared" si="1"/>
        <v>0.7142857142857143</v>
      </c>
    </row>
    <row r="9" spans="2:6" x14ac:dyDescent="0.2">
      <c r="B9">
        <v>11</v>
      </c>
      <c r="C9">
        <f>COUNTIFS(Master!C:C,'Weekly Record'!B9)</f>
        <v>15</v>
      </c>
      <c r="D9">
        <f>SUMIFS(Master!N:N, Master!C:C,'Weekly Record'!B9)</f>
        <v>10</v>
      </c>
      <c r="E9">
        <f t="shared" si="0"/>
        <v>5</v>
      </c>
      <c r="F9" s="12">
        <f t="shared" si="1"/>
        <v>0.66666666666666663</v>
      </c>
    </row>
    <row r="10" spans="2:6" x14ac:dyDescent="0.2">
      <c r="B10">
        <v>12</v>
      </c>
      <c r="C10">
        <f>COUNTIFS(Master!C:C,'Weekly Record'!B10)</f>
        <v>14</v>
      </c>
      <c r="D10">
        <f>SUMIFS(Master!N:N, Master!C:C,'Weekly Record'!B10)</f>
        <v>10</v>
      </c>
      <c r="E10">
        <f t="shared" si="0"/>
        <v>4</v>
      </c>
      <c r="F10" s="12">
        <f t="shared" si="1"/>
        <v>0.7142857142857143</v>
      </c>
    </row>
    <row r="11" spans="2:6" x14ac:dyDescent="0.2">
      <c r="B11">
        <v>13</v>
      </c>
      <c r="C11">
        <f>COUNTIFS(Master!C:C,'Weekly Record'!B11)</f>
        <v>16</v>
      </c>
      <c r="D11">
        <f>SUMIFS(Master!N:N, Master!C:C,'Weekly Record'!B11)</f>
        <v>10</v>
      </c>
      <c r="E11">
        <f t="shared" si="0"/>
        <v>6</v>
      </c>
      <c r="F11" s="12">
        <f t="shared" si="1"/>
        <v>0.625</v>
      </c>
    </row>
    <row r="12" spans="2:6" x14ac:dyDescent="0.2">
      <c r="B12">
        <v>14</v>
      </c>
      <c r="C12">
        <f>COUNTIFS(Master!C:C,'Weekly Record'!B12)</f>
        <v>14</v>
      </c>
      <c r="D12">
        <f>SUMIFS(Master!N:N, Master!C:C,'Weekly Record'!B12)</f>
        <v>8</v>
      </c>
      <c r="E12">
        <f t="shared" si="0"/>
        <v>6</v>
      </c>
      <c r="F12" s="12">
        <f t="shared" si="1"/>
        <v>0.5714285714285714</v>
      </c>
    </row>
    <row r="13" spans="2:6" x14ac:dyDescent="0.2">
      <c r="B13">
        <v>15</v>
      </c>
      <c r="C13">
        <f>COUNTIFS(Master!C:C,'Weekly Record'!B13)</f>
        <v>16</v>
      </c>
      <c r="D13">
        <f>SUMIFS(Master!N:N, Master!C:C,'Weekly Record'!B13)</f>
        <v>8</v>
      </c>
      <c r="E13">
        <f t="shared" si="0"/>
        <v>8</v>
      </c>
      <c r="F13" s="12">
        <f t="shared" si="1"/>
        <v>0.5</v>
      </c>
    </row>
    <row r="14" spans="2:6" x14ac:dyDescent="0.2">
      <c r="B14">
        <v>16</v>
      </c>
      <c r="C14">
        <f>COUNTIFS(Master!C:C,'Weekly Record'!B14)</f>
        <v>16</v>
      </c>
      <c r="D14">
        <f>SUMIFS(Master!N:N, Master!C:C,'Weekly Record'!B14)</f>
        <v>8</v>
      </c>
      <c r="E14">
        <f t="shared" ref="E14" si="2">C14-D14</f>
        <v>8</v>
      </c>
      <c r="F14" s="12">
        <f t="shared" ref="F14" si="3">D14/C14</f>
        <v>0.5</v>
      </c>
    </row>
    <row r="15" spans="2:6" x14ac:dyDescent="0.2">
      <c r="B15">
        <v>17</v>
      </c>
      <c r="C15">
        <f>COUNTIFS(Master!C:C,'Weekly Record'!B15)</f>
        <v>16</v>
      </c>
      <c r="D15">
        <f>SUMIFS(Master!N:N, Master!C:C,'Weekly Record'!B15)</f>
        <v>10</v>
      </c>
      <c r="E15">
        <f t="shared" ref="E15" si="4">C15-D15</f>
        <v>6</v>
      </c>
      <c r="F15" s="12">
        <f t="shared" ref="F15" si="5">D15/C15</f>
        <v>0.625</v>
      </c>
    </row>
    <row r="16" spans="2:6" x14ac:dyDescent="0.2">
      <c r="B16">
        <v>18</v>
      </c>
    </row>
    <row r="17" spans="2:6" x14ac:dyDescent="0.2">
      <c r="B17" s="18" t="s">
        <v>146</v>
      </c>
    </row>
    <row r="18" spans="2:6" x14ac:dyDescent="0.2">
      <c r="B18" s="16" t="s">
        <v>222</v>
      </c>
      <c r="C18" s="16" t="s">
        <v>63</v>
      </c>
      <c r="D18" s="16" t="s">
        <v>223</v>
      </c>
      <c r="E18" s="16" t="s">
        <v>224</v>
      </c>
      <c r="F18" s="16" t="s">
        <v>65</v>
      </c>
    </row>
    <row r="19" spans="2:6" x14ac:dyDescent="0.2">
      <c r="B19" cm="1">
        <f t="array" ref="B19:B31">_xlfn.UNIQUE(_xlfn._xlws.FILTER(Master!C9:C1000,NOT(ISBLANK(Master!C9:C1000))))</f>
        <v>6</v>
      </c>
      <c r="C19">
        <f>COUNTIFS(Master!C:C,'Weekly Record'!B19)</f>
        <v>15</v>
      </c>
      <c r="D19">
        <f>SUMIFS(Master!V:V, Master!C:C,'Weekly Record'!B19)</f>
        <v>0</v>
      </c>
      <c r="E19">
        <f>C19-D19</f>
        <v>15</v>
      </c>
      <c r="F19" s="12">
        <f>D19/C19</f>
        <v>0</v>
      </c>
    </row>
    <row r="20" spans="2:6" x14ac:dyDescent="0.2">
      <c r="B20">
        <v>7</v>
      </c>
      <c r="C20">
        <f>COUNTIFS(Master!C:C,'Weekly Record'!B20)</f>
        <v>15</v>
      </c>
      <c r="D20">
        <f>SUMIFS(Master!V:V, Master!C:C,'Weekly Record'!B20)</f>
        <v>0</v>
      </c>
      <c r="E20">
        <f t="shared" ref="E20:E28" si="6">C20-D20</f>
        <v>15</v>
      </c>
      <c r="F20" s="12">
        <f t="shared" ref="F20:F28" si="7">D20/C20</f>
        <v>0</v>
      </c>
    </row>
    <row r="21" spans="2:6" x14ac:dyDescent="0.2">
      <c r="B21">
        <v>8</v>
      </c>
      <c r="C21">
        <f>COUNTIFS(Master!C:C,'Weekly Record'!B21)</f>
        <v>13</v>
      </c>
      <c r="D21">
        <f>SUMIFS(Master!V:V, Master!C:C,'Weekly Record'!B21)</f>
        <v>0</v>
      </c>
      <c r="E21">
        <f t="shared" si="6"/>
        <v>13</v>
      </c>
      <c r="F21" s="12">
        <f t="shared" si="7"/>
        <v>0</v>
      </c>
    </row>
    <row r="22" spans="2:6" x14ac:dyDescent="0.2">
      <c r="B22">
        <v>9</v>
      </c>
      <c r="C22">
        <f>COUNTIFS(Master!C:C,'Weekly Record'!B22)</f>
        <v>14</v>
      </c>
      <c r="D22">
        <f>SUMIFS(Master!V:V, Master!C:C,'Weekly Record'!B22)</f>
        <v>0</v>
      </c>
      <c r="E22">
        <f t="shared" si="6"/>
        <v>14</v>
      </c>
      <c r="F22" s="12">
        <f t="shared" si="7"/>
        <v>0</v>
      </c>
    </row>
    <row r="23" spans="2:6" x14ac:dyDescent="0.2">
      <c r="B23">
        <v>10</v>
      </c>
      <c r="C23">
        <f>COUNTIFS(Master!C:C,'Weekly Record'!B23)</f>
        <v>14</v>
      </c>
      <c r="D23">
        <f>SUMIFS(Master!V:V, Master!C:C,'Weekly Record'!B23)</f>
        <v>0</v>
      </c>
      <c r="E23">
        <f t="shared" si="6"/>
        <v>14</v>
      </c>
      <c r="F23" s="12">
        <f t="shared" si="7"/>
        <v>0</v>
      </c>
    </row>
    <row r="24" spans="2:6" x14ac:dyDescent="0.2">
      <c r="B24">
        <v>11</v>
      </c>
      <c r="C24">
        <f>COUNTIFS(Master!C:C,'Weekly Record'!B24)</f>
        <v>15</v>
      </c>
      <c r="D24">
        <f>SUMIFS(Master!V:V, Master!C:C,'Weekly Record'!B24)</f>
        <v>6</v>
      </c>
      <c r="E24">
        <f t="shared" si="6"/>
        <v>9</v>
      </c>
      <c r="F24" s="12">
        <f t="shared" si="7"/>
        <v>0.4</v>
      </c>
    </row>
    <row r="25" spans="2:6" x14ac:dyDescent="0.2">
      <c r="B25">
        <v>12</v>
      </c>
      <c r="C25">
        <f>COUNTIFS(Master!C:C,'Weekly Record'!B25)</f>
        <v>14</v>
      </c>
      <c r="D25">
        <f>SUMIFS(Master!V:V, Master!C:C,'Weekly Record'!B25)</f>
        <v>8</v>
      </c>
      <c r="E25">
        <f t="shared" si="6"/>
        <v>6</v>
      </c>
      <c r="F25" s="12">
        <f t="shared" si="7"/>
        <v>0.5714285714285714</v>
      </c>
    </row>
    <row r="26" spans="2:6" x14ac:dyDescent="0.2">
      <c r="B26">
        <v>13</v>
      </c>
      <c r="C26">
        <f>COUNTIFS(Master!C:C,'Weekly Record'!B26)</f>
        <v>16</v>
      </c>
      <c r="D26">
        <f>SUMIFS(Master!V:V, Master!C:C,'Weekly Record'!B26)</f>
        <v>10</v>
      </c>
      <c r="E26">
        <f t="shared" si="6"/>
        <v>6</v>
      </c>
      <c r="F26" s="12">
        <f t="shared" si="7"/>
        <v>0.625</v>
      </c>
    </row>
    <row r="27" spans="2:6" x14ac:dyDescent="0.2">
      <c r="B27">
        <v>14</v>
      </c>
      <c r="C27">
        <f>COUNTIFS(Master!C:C,'Weekly Record'!B27)</f>
        <v>14</v>
      </c>
      <c r="D27">
        <f>SUMIFS(Master!V:V, Master!C:C,'Weekly Record'!B27)</f>
        <v>8</v>
      </c>
      <c r="E27">
        <f t="shared" si="6"/>
        <v>6</v>
      </c>
      <c r="F27" s="12">
        <f t="shared" si="7"/>
        <v>0.5714285714285714</v>
      </c>
    </row>
    <row r="28" spans="2:6" x14ac:dyDescent="0.2">
      <c r="B28">
        <v>15</v>
      </c>
      <c r="C28">
        <f>COUNTIFS(Master!C:C,'Weekly Record'!B28)</f>
        <v>16</v>
      </c>
      <c r="D28">
        <f>SUMIFS(Master!V:V, Master!C:C,'Weekly Record'!B28)</f>
        <v>8</v>
      </c>
      <c r="E28">
        <f t="shared" si="6"/>
        <v>8</v>
      </c>
      <c r="F28" s="12">
        <f t="shared" si="7"/>
        <v>0.5</v>
      </c>
    </row>
    <row r="29" spans="2:6" x14ac:dyDescent="0.2">
      <c r="B29">
        <v>16</v>
      </c>
      <c r="C29">
        <f>COUNTIFS(Master!C:C,'Weekly Record'!B29)</f>
        <v>16</v>
      </c>
      <c r="D29">
        <f>SUMIFS(Master!V:V, Master!C:C,'Weekly Record'!B29)</f>
        <v>6</v>
      </c>
      <c r="E29">
        <f t="shared" ref="E29" si="8">C29-D29</f>
        <v>10</v>
      </c>
      <c r="F29" s="12">
        <f t="shared" ref="F29" si="9">D29/C29</f>
        <v>0.375</v>
      </c>
    </row>
    <row r="30" spans="2:6" x14ac:dyDescent="0.2">
      <c r="B30">
        <v>17</v>
      </c>
      <c r="C30">
        <f>COUNTIFS(Master!C:C,'Weekly Record'!B30)</f>
        <v>16</v>
      </c>
      <c r="D30">
        <f>SUMIFS(Master!V:V, Master!C:C,'Weekly Record'!B30)</f>
        <v>10</v>
      </c>
      <c r="E30">
        <f t="shared" ref="E30" si="10">C30-D30</f>
        <v>6</v>
      </c>
      <c r="F30" s="12">
        <f t="shared" ref="F30" si="11">D30/C30</f>
        <v>0.625</v>
      </c>
    </row>
    <row r="31" spans="2:6" x14ac:dyDescent="0.2">
      <c r="B31">
        <v>18</v>
      </c>
    </row>
    <row r="33" spans="2:6" x14ac:dyDescent="0.2">
      <c r="B33" s="18" t="s">
        <v>146</v>
      </c>
    </row>
    <row r="34" spans="2:6" x14ac:dyDescent="0.2">
      <c r="B34" s="16" t="s">
        <v>222</v>
      </c>
      <c r="C34" s="16" t="s">
        <v>63</v>
      </c>
      <c r="D34" s="16" t="s">
        <v>223</v>
      </c>
      <c r="E34" s="16" t="s">
        <v>224</v>
      </c>
      <c r="F34" s="16" t="s">
        <v>65</v>
      </c>
    </row>
    <row r="35" spans="2:6" x14ac:dyDescent="0.2">
      <c r="B35" cm="1">
        <f t="array" ref="B35:B47">_xlfn.UNIQUE(_xlfn._xlws.FILTER(Master!C9:C1000,NOT(ISBLANK(Master!C9:C1000))))</f>
        <v>6</v>
      </c>
      <c r="C35">
        <f>COUNTIFS(Master!C:C,'Weekly Record'!B35)</f>
        <v>15</v>
      </c>
      <c r="D35">
        <f>SUMIFS(Master!AB:AB, Master!C:C,'Weekly Record'!B35)</f>
        <v>0</v>
      </c>
      <c r="E35">
        <f>C35-D35</f>
        <v>15</v>
      </c>
      <c r="F35" s="12">
        <f>D35/C35</f>
        <v>0</v>
      </c>
    </row>
    <row r="36" spans="2:6" x14ac:dyDescent="0.2">
      <c r="B36">
        <v>7</v>
      </c>
      <c r="C36">
        <f>COUNTIFS(Master!C:C,'Weekly Record'!B36)</f>
        <v>15</v>
      </c>
      <c r="D36">
        <f>SUMIFS(Master!AB:AB, Master!C:C,'Weekly Record'!B36)</f>
        <v>0</v>
      </c>
      <c r="E36">
        <f t="shared" ref="E36:E44" si="12">C36-D36</f>
        <v>15</v>
      </c>
      <c r="F36" s="12">
        <f t="shared" ref="F36:F44" si="13">D36/C36</f>
        <v>0</v>
      </c>
    </row>
    <row r="37" spans="2:6" x14ac:dyDescent="0.2">
      <c r="B37">
        <v>8</v>
      </c>
      <c r="C37">
        <f>COUNTIFS(Master!C:C,'Weekly Record'!B37)</f>
        <v>13</v>
      </c>
      <c r="D37">
        <f>SUMIFS(Master!AB:AB, Master!C:C,'Weekly Record'!B37)</f>
        <v>0</v>
      </c>
      <c r="E37">
        <f t="shared" si="12"/>
        <v>13</v>
      </c>
      <c r="F37" s="12">
        <f t="shared" si="13"/>
        <v>0</v>
      </c>
    </row>
    <row r="38" spans="2:6" x14ac:dyDescent="0.2">
      <c r="B38">
        <v>9</v>
      </c>
      <c r="C38">
        <f>COUNTIFS(Master!C:C,'Weekly Record'!B38)</f>
        <v>14</v>
      </c>
      <c r="D38">
        <f>SUMIFS(Master!AB:AB, Master!C:C,'Weekly Record'!B38)</f>
        <v>0</v>
      </c>
      <c r="E38">
        <f t="shared" si="12"/>
        <v>14</v>
      </c>
      <c r="F38" s="12">
        <f t="shared" si="13"/>
        <v>0</v>
      </c>
    </row>
    <row r="39" spans="2:6" x14ac:dyDescent="0.2">
      <c r="B39">
        <v>10</v>
      </c>
      <c r="C39">
        <f>COUNTIFS(Master!C:C,'Weekly Record'!B39)</f>
        <v>14</v>
      </c>
      <c r="D39">
        <f>SUMIFS(Master!AB:AB, Master!C:C,'Weekly Record'!B39)</f>
        <v>0</v>
      </c>
      <c r="E39">
        <f t="shared" si="12"/>
        <v>14</v>
      </c>
      <c r="F39" s="12">
        <f t="shared" si="13"/>
        <v>0</v>
      </c>
    </row>
    <row r="40" spans="2:6" x14ac:dyDescent="0.2">
      <c r="B40">
        <v>11</v>
      </c>
      <c r="C40">
        <f>COUNTIFS(Master!C:C,'Weekly Record'!B40)</f>
        <v>15</v>
      </c>
      <c r="D40">
        <f>SUMIFS(Master!AB:AB, Master!C:C,'Weekly Record'!B40)</f>
        <v>7</v>
      </c>
      <c r="E40">
        <f t="shared" si="12"/>
        <v>8</v>
      </c>
      <c r="F40" s="12">
        <f t="shared" si="13"/>
        <v>0.46666666666666667</v>
      </c>
    </row>
    <row r="41" spans="2:6" x14ac:dyDescent="0.2">
      <c r="B41">
        <v>12</v>
      </c>
      <c r="C41">
        <f>COUNTIFS(Master!C:C,'Weekly Record'!B41)</f>
        <v>14</v>
      </c>
      <c r="D41">
        <f>SUMIFS(Master!AB:AB, Master!C:C,'Weekly Record'!B41)</f>
        <v>7</v>
      </c>
      <c r="E41">
        <f t="shared" si="12"/>
        <v>7</v>
      </c>
      <c r="F41" s="12">
        <f t="shared" si="13"/>
        <v>0.5</v>
      </c>
    </row>
    <row r="42" spans="2:6" x14ac:dyDescent="0.2">
      <c r="B42">
        <v>13</v>
      </c>
      <c r="C42">
        <f>COUNTIFS(Master!C:C,'Weekly Record'!B42)</f>
        <v>16</v>
      </c>
      <c r="D42">
        <f>SUMIFS(Master!AB:AB, Master!C:C,'Weekly Record'!B42)</f>
        <v>8</v>
      </c>
      <c r="E42">
        <f t="shared" si="12"/>
        <v>8</v>
      </c>
      <c r="F42" s="12">
        <f t="shared" si="13"/>
        <v>0.5</v>
      </c>
    </row>
    <row r="43" spans="2:6" x14ac:dyDescent="0.2">
      <c r="B43">
        <v>14</v>
      </c>
      <c r="C43">
        <f>COUNTIFS(Master!C:C,'Weekly Record'!B43)</f>
        <v>14</v>
      </c>
      <c r="D43">
        <f>SUMIFS(Master!AB:AB, Master!C:C,'Weekly Record'!B43)</f>
        <v>4</v>
      </c>
      <c r="E43">
        <f t="shared" si="12"/>
        <v>10</v>
      </c>
      <c r="F43" s="12">
        <f t="shared" si="13"/>
        <v>0.2857142857142857</v>
      </c>
    </row>
    <row r="44" spans="2:6" x14ac:dyDescent="0.2">
      <c r="B44">
        <v>15</v>
      </c>
      <c r="C44">
        <f>COUNTIFS(Master!C:C,'Weekly Record'!B44)</f>
        <v>16</v>
      </c>
      <c r="D44">
        <f>SUMIFS(Master!AB:AB, Master!C:C,'Weekly Record'!B44)</f>
        <v>6</v>
      </c>
      <c r="E44">
        <f t="shared" si="12"/>
        <v>10</v>
      </c>
      <c r="F44" s="12">
        <f t="shared" si="13"/>
        <v>0.375</v>
      </c>
    </row>
    <row r="45" spans="2:6" x14ac:dyDescent="0.2">
      <c r="B45">
        <v>16</v>
      </c>
      <c r="C45">
        <f>COUNTIFS(Master!C:C,'Weekly Record'!B45)</f>
        <v>16</v>
      </c>
      <c r="D45">
        <f>SUMIFS(Master!AB:AB, Master!C:C,'Weekly Record'!B45)</f>
        <v>8</v>
      </c>
      <c r="E45">
        <f t="shared" ref="E45" si="14">C45-D45</f>
        <v>8</v>
      </c>
      <c r="F45" s="12">
        <f t="shared" ref="F45" si="15">D45/C45</f>
        <v>0.5</v>
      </c>
    </row>
    <row r="46" spans="2:6" x14ac:dyDescent="0.2">
      <c r="B46">
        <v>17</v>
      </c>
      <c r="C46">
        <f>COUNTIFS(Master!C:C,'Weekly Record'!B46)</f>
        <v>16</v>
      </c>
      <c r="D46">
        <f>SUMIFS(Master!AB:AB, Master!C:C,'Weekly Record'!B46)</f>
        <v>7</v>
      </c>
      <c r="E46">
        <f t="shared" ref="E46" si="16">C46-D46</f>
        <v>9</v>
      </c>
      <c r="F46" s="12">
        <f t="shared" ref="F46" si="17">D46/C46</f>
        <v>0.4375</v>
      </c>
    </row>
    <row r="47" spans="2:6" x14ac:dyDescent="0.2">
      <c r="B47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23"/>
  <sheetViews>
    <sheetView showGridLines="0" zoomScale="120" zoomScaleNormal="120" workbookViewId="0">
      <selection activeCell="G21" sqref="G21"/>
    </sheetView>
  </sheetViews>
  <sheetFormatPr baseColWidth="10" defaultColWidth="8.83203125" defaultRowHeight="15" x14ac:dyDescent="0.2"/>
  <cols>
    <col min="2" max="2" width="6.83203125" bestFit="1" customWidth="1"/>
    <col min="3" max="3" width="6.1640625" bestFit="1" customWidth="1"/>
    <col min="4" max="4" width="10.5" bestFit="1" customWidth="1"/>
    <col min="5" max="5" width="9.83203125" bestFit="1" customWidth="1"/>
    <col min="6" max="6" width="12.1640625" bestFit="1" customWidth="1"/>
    <col min="7" max="7" width="13.33203125" bestFit="1" customWidth="1"/>
    <col min="8" max="8" width="12.1640625" bestFit="1" customWidth="1"/>
    <col min="9" max="9" width="12.6640625" bestFit="1" customWidth="1"/>
    <col min="10" max="10" width="11" bestFit="1" customWidth="1"/>
    <col min="11" max="11" width="9.1640625" customWidth="1"/>
    <col min="12" max="12" width="10" customWidth="1"/>
    <col min="13" max="14" width="10.1640625" bestFit="1" customWidth="1"/>
    <col min="15" max="15" width="10.6640625" bestFit="1" customWidth="1"/>
    <col min="16" max="17" width="10.1640625" bestFit="1" customWidth="1"/>
    <col min="18" max="18" width="10.6640625" bestFit="1" customWidth="1"/>
  </cols>
  <sheetData>
    <row r="2" spans="2:18" x14ac:dyDescent="0.2">
      <c r="B2" s="7" t="s">
        <v>64</v>
      </c>
      <c r="C2" s="4">
        <v>9</v>
      </c>
    </row>
    <row r="3" spans="2:18" x14ac:dyDescent="0.2">
      <c r="B3" s="7" t="s">
        <v>63</v>
      </c>
      <c r="C3" s="4">
        <v>15</v>
      </c>
    </row>
    <row r="4" spans="2:18" x14ac:dyDescent="0.2">
      <c r="B4" s="7" t="s">
        <v>65</v>
      </c>
      <c r="C4" s="8">
        <v>0.6</v>
      </c>
    </row>
    <row r="5" spans="2:18" x14ac:dyDescent="0.2">
      <c r="C5" s="6"/>
    </row>
    <row r="6" spans="2:18" x14ac:dyDescent="0.2">
      <c r="F6" s="21" t="s">
        <v>62</v>
      </c>
      <c r="G6" s="22"/>
      <c r="H6" s="22"/>
      <c r="I6" s="23"/>
      <c r="J6" s="20" t="s">
        <v>60</v>
      </c>
      <c r="K6" s="20"/>
      <c r="L6" s="20"/>
      <c r="M6" s="20" t="s">
        <v>55</v>
      </c>
      <c r="N6" s="20"/>
      <c r="O6" s="20"/>
      <c r="P6" s="20" t="s">
        <v>56</v>
      </c>
      <c r="Q6" s="20"/>
      <c r="R6" s="20"/>
    </row>
    <row r="7" spans="2:18" x14ac:dyDescent="0.2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7</v>
      </c>
      <c r="H7" s="1" t="s">
        <v>5</v>
      </c>
      <c r="I7" s="1" t="s">
        <v>8</v>
      </c>
      <c r="J7" s="1" t="s">
        <v>6</v>
      </c>
      <c r="K7" s="1" t="s">
        <v>9</v>
      </c>
      <c r="L7" s="1" t="s">
        <v>61</v>
      </c>
      <c r="M7" s="1" t="s">
        <v>57</v>
      </c>
      <c r="N7" s="1" t="s">
        <v>58</v>
      </c>
      <c r="O7" s="1" t="s">
        <v>59</v>
      </c>
      <c r="P7" s="1" t="s">
        <v>57</v>
      </c>
      <c r="Q7" s="1" t="s">
        <v>58</v>
      </c>
      <c r="R7" s="1" t="s">
        <v>59</v>
      </c>
    </row>
    <row r="8" spans="2:18" x14ac:dyDescent="0.2">
      <c r="B8" s="4">
        <v>2025</v>
      </c>
      <c r="C8" s="4">
        <v>6</v>
      </c>
      <c r="D8" s="4" t="s">
        <v>10</v>
      </c>
      <c r="E8" s="4" t="s">
        <v>11</v>
      </c>
      <c r="F8" s="3">
        <v>0.28413916801677003</v>
      </c>
      <c r="G8" s="4" t="s">
        <v>12</v>
      </c>
      <c r="H8" s="3">
        <v>0.71586083198323003</v>
      </c>
      <c r="I8" s="4">
        <v>-251</v>
      </c>
      <c r="J8" s="4" t="s">
        <v>11</v>
      </c>
      <c r="K8" s="4" t="s">
        <v>10</v>
      </c>
      <c r="L8" s="4">
        <f>IF(K8=J8,1,0)</f>
        <v>0</v>
      </c>
      <c r="M8" s="5">
        <v>0.25124220917190332</v>
      </c>
      <c r="N8" s="5">
        <v>6.6168525762725292E-2</v>
      </c>
      <c r="O8" s="5">
        <v>-2.7362438348623421E-2</v>
      </c>
      <c r="P8" s="5">
        <v>-6.6168525762725292E-2</v>
      </c>
      <c r="Q8" s="5">
        <v>-0.25124220917190332</v>
      </c>
      <c r="R8" s="5">
        <v>2.7362438348623421E-2</v>
      </c>
    </row>
    <row r="9" spans="2:18" x14ac:dyDescent="0.2">
      <c r="B9" s="4">
        <v>2025</v>
      </c>
      <c r="C9" s="4">
        <v>6</v>
      </c>
      <c r="D9" s="4" t="s">
        <v>13</v>
      </c>
      <c r="E9" s="4" t="s">
        <v>14</v>
      </c>
      <c r="F9" s="3">
        <v>0.30012096252550818</v>
      </c>
      <c r="G9" s="4" t="s">
        <v>15</v>
      </c>
      <c r="H9" s="3">
        <v>0.69987903747449176</v>
      </c>
      <c r="I9" s="4">
        <v>-233</v>
      </c>
      <c r="J9" s="4" t="s">
        <v>14</v>
      </c>
      <c r="K9" s="4" t="s">
        <v>14</v>
      </c>
      <c r="L9" s="4">
        <f t="shared" ref="L9:L22" si="0">IF(K9=J9,1,0)</f>
        <v>1</v>
      </c>
      <c r="M9" s="5">
        <v>-0.43215488565379201</v>
      </c>
      <c r="N9" s="5">
        <v>0.16995372772216799</v>
      </c>
      <c r="O9" s="5">
        <v>0.34083964143480572</v>
      </c>
      <c r="P9" s="5">
        <v>-0.16995372772216799</v>
      </c>
      <c r="Q9" s="5">
        <v>0.43215488565379168</v>
      </c>
      <c r="R9" s="5">
        <v>-0.34083964143480572</v>
      </c>
    </row>
    <row r="10" spans="2:18" x14ac:dyDescent="0.2">
      <c r="B10" s="4">
        <v>2025</v>
      </c>
      <c r="C10" s="4">
        <v>6</v>
      </c>
      <c r="D10" s="4" t="s">
        <v>16</v>
      </c>
      <c r="E10" s="4" t="s">
        <v>17</v>
      </c>
      <c r="F10" s="3">
        <v>0.5391317363751863</v>
      </c>
      <c r="G10" s="4">
        <v>-116</v>
      </c>
      <c r="H10" s="3">
        <v>0.4608682636248137</v>
      </c>
      <c r="I10" s="4" t="s">
        <v>18</v>
      </c>
      <c r="J10" s="4" t="s">
        <v>16</v>
      </c>
      <c r="K10" s="4" t="s">
        <v>17</v>
      </c>
      <c r="L10" s="4">
        <f t="shared" si="0"/>
        <v>0</v>
      </c>
      <c r="M10" s="5">
        <v>-0.29375996589660652</v>
      </c>
      <c r="N10" s="5">
        <v>-1.597554523211259E-2</v>
      </c>
      <c r="O10" s="5">
        <v>0.37059371812003</v>
      </c>
      <c r="P10" s="5">
        <v>1.597554523211259E-2</v>
      </c>
      <c r="Q10" s="5">
        <v>0.29375996589660652</v>
      </c>
      <c r="R10" s="5">
        <v>-0.37059371812003</v>
      </c>
    </row>
    <row r="11" spans="2:18" x14ac:dyDescent="0.2">
      <c r="B11" s="4">
        <v>2025</v>
      </c>
      <c r="C11" s="4">
        <v>6</v>
      </c>
      <c r="D11" s="4" t="s">
        <v>19</v>
      </c>
      <c r="E11" s="4" t="s">
        <v>20</v>
      </c>
      <c r="F11" s="3">
        <v>0.49133872521191652</v>
      </c>
      <c r="G11" s="4" t="s">
        <v>21</v>
      </c>
      <c r="H11" s="3">
        <v>0.50866127478808343</v>
      </c>
      <c r="I11" s="4">
        <v>-103</v>
      </c>
      <c r="J11" s="4" t="s">
        <v>20</v>
      </c>
      <c r="K11" s="4" t="s">
        <v>19</v>
      </c>
      <c r="L11" s="4">
        <f t="shared" si="0"/>
        <v>0</v>
      </c>
      <c r="M11" s="5">
        <v>0.1778987058952673</v>
      </c>
      <c r="N11" s="5">
        <v>-0.20278739929199219</v>
      </c>
      <c r="O11" s="5">
        <v>2.426927856036595E-2</v>
      </c>
      <c r="P11" s="5">
        <v>0.20278739929199219</v>
      </c>
      <c r="Q11" s="5">
        <v>-0.1778987058952673</v>
      </c>
      <c r="R11" s="5">
        <v>-2.426927856036595E-2</v>
      </c>
    </row>
    <row r="12" spans="2:18" x14ac:dyDescent="0.2">
      <c r="B12" s="4">
        <v>2025</v>
      </c>
      <c r="C12" s="4">
        <v>6</v>
      </c>
      <c r="D12" s="4" t="s">
        <v>22</v>
      </c>
      <c r="E12" s="4" t="s">
        <v>23</v>
      </c>
      <c r="F12" s="3">
        <v>0.58161291372888979</v>
      </c>
      <c r="G12" s="4">
        <v>-139</v>
      </c>
      <c r="H12" s="3">
        <v>0.41838708627111021</v>
      </c>
      <c r="I12" s="4" t="s">
        <v>24</v>
      </c>
      <c r="J12" s="4" t="s">
        <v>22</v>
      </c>
      <c r="K12" s="4" t="s">
        <v>22</v>
      </c>
      <c r="L12" s="4">
        <f t="shared" si="0"/>
        <v>1</v>
      </c>
      <c r="M12" s="5">
        <v>0.15875688092461951</v>
      </c>
      <c r="N12" s="5">
        <v>-7.3672771453857422E-2</v>
      </c>
      <c r="O12" s="5">
        <v>-6.2292337417602539E-2</v>
      </c>
      <c r="P12" s="5">
        <v>7.3672771453857422E-2</v>
      </c>
      <c r="Q12" s="5">
        <v>-0.15875688092461951</v>
      </c>
      <c r="R12" s="5">
        <v>6.2292337417602539E-2</v>
      </c>
    </row>
    <row r="13" spans="2:18" x14ac:dyDescent="0.2">
      <c r="B13" s="4">
        <v>2025</v>
      </c>
      <c r="C13" s="4">
        <v>6</v>
      </c>
      <c r="D13" s="4" t="s">
        <v>25</v>
      </c>
      <c r="E13" s="4" t="s">
        <v>26</v>
      </c>
      <c r="F13" s="3">
        <v>0.46542939043507342</v>
      </c>
      <c r="G13" s="4" t="s">
        <v>27</v>
      </c>
      <c r="H13" s="3">
        <v>0.53457060956492664</v>
      </c>
      <c r="I13" s="4">
        <v>-114</v>
      </c>
      <c r="J13" s="4" t="s">
        <v>26</v>
      </c>
      <c r="K13" s="4" t="s">
        <v>26</v>
      </c>
      <c r="L13" s="4">
        <f t="shared" si="0"/>
        <v>1</v>
      </c>
      <c r="M13" s="5">
        <v>-8.2264423370361328E-2</v>
      </c>
      <c r="N13" s="5">
        <v>-2.092841267585754E-2</v>
      </c>
      <c r="O13" s="5">
        <v>-0.20806896686553961</v>
      </c>
      <c r="P13" s="5">
        <v>2.092841267585754E-2</v>
      </c>
      <c r="Q13" s="5">
        <v>8.2264423370361328E-2</v>
      </c>
      <c r="R13" s="5">
        <v>0.20806896686553961</v>
      </c>
    </row>
    <row r="14" spans="2:18" x14ac:dyDescent="0.2">
      <c r="B14" s="4">
        <v>2025</v>
      </c>
      <c r="C14" s="4">
        <v>6</v>
      </c>
      <c r="D14" s="4" t="s">
        <v>28</v>
      </c>
      <c r="E14" s="4" t="s">
        <v>29</v>
      </c>
      <c r="F14" s="3">
        <v>0.49333609562736308</v>
      </c>
      <c r="G14" s="4" t="s">
        <v>30</v>
      </c>
      <c r="H14" s="3">
        <v>0.50666390437263686</v>
      </c>
      <c r="I14" s="4">
        <v>-102</v>
      </c>
      <c r="J14" s="4" t="s">
        <v>29</v>
      </c>
      <c r="K14" s="4" t="s">
        <v>29</v>
      </c>
      <c r="L14" s="4">
        <f t="shared" si="0"/>
        <v>1</v>
      </c>
      <c r="M14" s="5">
        <v>3.8278063138326011E-2</v>
      </c>
      <c r="N14" s="5">
        <v>-6.1747200348797958E-2</v>
      </c>
      <c r="O14" s="5">
        <v>-1.3840508460998539E-2</v>
      </c>
      <c r="P14" s="5">
        <v>6.1747200348797958E-2</v>
      </c>
      <c r="Q14" s="5">
        <v>-3.8278063138326011E-2</v>
      </c>
      <c r="R14" s="5">
        <v>1.3840508460998539E-2</v>
      </c>
    </row>
    <row r="15" spans="2:18" x14ac:dyDescent="0.2">
      <c r="B15" s="4">
        <v>2025</v>
      </c>
      <c r="C15" s="4">
        <v>6</v>
      </c>
      <c r="D15" s="4" t="s">
        <v>31</v>
      </c>
      <c r="E15" s="4" t="s">
        <v>32</v>
      </c>
      <c r="F15" s="3">
        <v>0.39499877434716879</v>
      </c>
      <c r="G15" s="4" t="s">
        <v>33</v>
      </c>
      <c r="H15" s="3">
        <v>0.60500122565283121</v>
      </c>
      <c r="I15" s="4">
        <v>-153</v>
      </c>
      <c r="J15" s="4" t="s">
        <v>32</v>
      </c>
      <c r="K15" s="4" t="s">
        <v>32</v>
      </c>
      <c r="L15" s="4">
        <f t="shared" si="0"/>
        <v>1</v>
      </c>
      <c r="M15" s="5">
        <v>-7.3139173942699767E-2</v>
      </c>
      <c r="N15" s="5">
        <v>-0.13044801354408261</v>
      </c>
      <c r="O15" s="5">
        <v>0.13509109119574231</v>
      </c>
      <c r="P15" s="5">
        <v>0.13044801354408261</v>
      </c>
      <c r="Q15" s="5">
        <v>7.3139173942699767E-2</v>
      </c>
      <c r="R15" s="5">
        <v>-0.13509109119574231</v>
      </c>
    </row>
    <row r="16" spans="2:18" x14ac:dyDescent="0.2">
      <c r="B16" s="4">
        <v>2025</v>
      </c>
      <c r="C16" s="4">
        <v>6</v>
      </c>
      <c r="D16" s="4" t="s">
        <v>34</v>
      </c>
      <c r="E16" s="4" t="s">
        <v>35</v>
      </c>
      <c r="F16" s="3">
        <v>0.71805668043681292</v>
      </c>
      <c r="G16" s="4">
        <v>-254</v>
      </c>
      <c r="H16" s="3">
        <v>0.28194331956318708</v>
      </c>
      <c r="I16" s="4" t="s">
        <v>36</v>
      </c>
      <c r="J16" s="4" t="s">
        <v>34</v>
      </c>
      <c r="K16" s="4" t="s">
        <v>34</v>
      </c>
      <c r="L16" s="4">
        <f t="shared" si="0"/>
        <v>1</v>
      </c>
      <c r="M16" s="5">
        <v>9.5861426570959252E-2</v>
      </c>
      <c r="N16" s="5">
        <v>0.13702201843261719</v>
      </c>
      <c r="O16" s="5">
        <v>-0.1466665863990784</v>
      </c>
      <c r="P16" s="5">
        <v>-0.13702201843261719</v>
      </c>
      <c r="Q16" s="5">
        <v>-9.5861426570959252E-2</v>
      </c>
      <c r="R16" s="5">
        <v>0.1466665863990784</v>
      </c>
    </row>
    <row r="17" spans="2:18" x14ac:dyDescent="0.2">
      <c r="B17" s="4">
        <v>2025</v>
      </c>
      <c r="C17" s="4">
        <v>6</v>
      </c>
      <c r="D17" s="4" t="s">
        <v>37</v>
      </c>
      <c r="E17" s="4" t="s">
        <v>38</v>
      </c>
      <c r="F17" s="3">
        <v>0.60215188079057347</v>
      </c>
      <c r="G17" s="4">
        <v>-151</v>
      </c>
      <c r="H17" s="3">
        <v>0.39784811920942648</v>
      </c>
      <c r="I17" s="4" t="s">
        <v>39</v>
      </c>
      <c r="J17" s="4" t="s">
        <v>37</v>
      </c>
      <c r="K17" s="4" t="s">
        <v>37</v>
      </c>
      <c r="L17" s="4">
        <f t="shared" si="0"/>
        <v>1</v>
      </c>
      <c r="M17" s="5">
        <v>-9.7661510842745422E-2</v>
      </c>
      <c r="N17" s="5">
        <v>0.24401584748298891</v>
      </c>
      <c r="O17" s="5">
        <v>0.1949815698291944</v>
      </c>
      <c r="P17" s="5">
        <v>-0.24401584748298891</v>
      </c>
      <c r="Q17" s="5">
        <v>9.7661510842745422E-2</v>
      </c>
      <c r="R17" s="5">
        <v>-0.1949815698291944</v>
      </c>
    </row>
    <row r="18" spans="2:18" x14ac:dyDescent="0.2">
      <c r="B18" s="4">
        <v>2025</v>
      </c>
      <c r="C18" s="4">
        <v>6</v>
      </c>
      <c r="D18" s="4" t="s">
        <v>40</v>
      </c>
      <c r="E18" s="4" t="s">
        <v>41</v>
      </c>
      <c r="F18" s="3">
        <v>0.72152836035036028</v>
      </c>
      <c r="G18" s="4">
        <v>-259</v>
      </c>
      <c r="H18" s="3">
        <v>0.27847163964963972</v>
      </c>
      <c r="I18" s="4" t="s">
        <v>42</v>
      </c>
      <c r="J18" s="4" t="s">
        <v>40</v>
      </c>
      <c r="K18" s="4" t="s">
        <v>40</v>
      </c>
      <c r="L18" s="4">
        <f t="shared" si="0"/>
        <v>1</v>
      </c>
      <c r="M18" s="5">
        <v>0.21342838605244949</v>
      </c>
      <c r="N18" s="5">
        <v>-0.10244938043447641</v>
      </c>
      <c r="O18" s="5">
        <v>8.9890928268432618E-2</v>
      </c>
      <c r="P18" s="5">
        <v>0.10244938043447641</v>
      </c>
      <c r="Q18" s="5">
        <v>-0.21342838605244949</v>
      </c>
      <c r="R18" s="5">
        <v>-8.9890928268432618E-2</v>
      </c>
    </row>
    <row r="19" spans="2:18" x14ac:dyDescent="0.2">
      <c r="B19" s="4">
        <v>2025</v>
      </c>
      <c r="C19" s="4">
        <v>6</v>
      </c>
      <c r="D19" s="4" t="s">
        <v>43</v>
      </c>
      <c r="E19" s="4" t="s">
        <v>44</v>
      </c>
      <c r="F19" s="3">
        <v>0.59882672321324404</v>
      </c>
      <c r="G19" s="4">
        <v>-149</v>
      </c>
      <c r="H19" s="3">
        <v>0.40117327678675602</v>
      </c>
      <c r="I19" s="4" t="s">
        <v>45</v>
      </c>
      <c r="J19" s="4" t="s">
        <v>43</v>
      </c>
      <c r="K19" s="4" t="s">
        <v>43</v>
      </c>
      <c r="L19" s="4">
        <f t="shared" si="0"/>
        <v>1</v>
      </c>
      <c r="M19" s="5">
        <v>0.24584000065641581</v>
      </c>
      <c r="N19" s="5">
        <v>0.11939342816670739</v>
      </c>
      <c r="O19" s="5">
        <v>-0.28655227908381709</v>
      </c>
      <c r="P19" s="5">
        <v>-0.11939342816670739</v>
      </c>
      <c r="Q19" s="5">
        <v>-0.24584000065641581</v>
      </c>
      <c r="R19" s="5">
        <v>0.28655227908381709</v>
      </c>
    </row>
    <row r="20" spans="2:18" x14ac:dyDescent="0.2">
      <c r="B20" s="4">
        <v>2025</v>
      </c>
      <c r="C20" s="4">
        <v>6</v>
      </c>
      <c r="D20" s="4" t="s">
        <v>46</v>
      </c>
      <c r="E20" s="4" t="s">
        <v>47</v>
      </c>
      <c r="F20" s="3">
        <v>0.36153706680294762</v>
      </c>
      <c r="G20" s="4" t="s">
        <v>48</v>
      </c>
      <c r="H20" s="3">
        <v>0.63846293319705238</v>
      </c>
      <c r="I20" s="4">
        <v>-176</v>
      </c>
      <c r="J20" s="4" t="s">
        <v>47</v>
      </c>
      <c r="K20" s="4" t="s">
        <v>46</v>
      </c>
      <c r="L20" s="4">
        <f t="shared" si="0"/>
        <v>0</v>
      </c>
      <c r="M20" s="5">
        <v>0.31075544357299811</v>
      </c>
      <c r="N20" s="5">
        <v>-8.2664749839089127E-2</v>
      </c>
      <c r="O20" s="5">
        <v>-4.2046240784905176E-3</v>
      </c>
      <c r="P20" s="5">
        <v>8.2664749839089127E-2</v>
      </c>
      <c r="Q20" s="5">
        <v>-0.31075544357299811</v>
      </c>
      <c r="R20" s="5">
        <v>4.2046240784905176E-3</v>
      </c>
    </row>
    <row r="21" spans="2:18" x14ac:dyDescent="0.2">
      <c r="B21" s="4">
        <v>2025</v>
      </c>
      <c r="C21" s="4">
        <v>6</v>
      </c>
      <c r="D21" s="4" t="s">
        <v>49</v>
      </c>
      <c r="E21" s="4" t="s">
        <v>50</v>
      </c>
      <c r="F21" s="3">
        <v>0.31839250924053619</v>
      </c>
      <c r="G21" s="4" t="s">
        <v>51</v>
      </c>
      <c r="H21" s="3">
        <v>0.68160749075946381</v>
      </c>
      <c r="I21" s="4">
        <v>-214</v>
      </c>
      <c r="J21" s="4" t="s">
        <v>50</v>
      </c>
      <c r="K21" s="4" t="s">
        <v>49</v>
      </c>
      <c r="L21" s="4">
        <f t="shared" si="0"/>
        <v>0</v>
      </c>
      <c r="M21" s="5">
        <v>0.10814125897133189</v>
      </c>
      <c r="N21" s="5">
        <v>0.10416143818905479</v>
      </c>
      <c r="O21" s="5">
        <v>-0.1186255013942718</v>
      </c>
      <c r="P21" s="5">
        <v>-0.10416143818905479</v>
      </c>
      <c r="Q21" s="5">
        <v>-0.10814125897133189</v>
      </c>
      <c r="R21" s="5">
        <v>0.1186255013942718</v>
      </c>
    </row>
    <row r="22" spans="2:18" x14ac:dyDescent="0.2">
      <c r="B22" s="4">
        <v>2025</v>
      </c>
      <c r="C22" s="4">
        <v>6</v>
      </c>
      <c r="D22" s="4" t="s">
        <v>52</v>
      </c>
      <c r="E22" s="4" t="s">
        <v>53</v>
      </c>
      <c r="F22" s="3">
        <v>0.73154658195912958</v>
      </c>
      <c r="G22" s="4">
        <v>-272</v>
      </c>
      <c r="H22" s="3">
        <v>0.26845341804087042</v>
      </c>
      <c r="I22" s="4" t="s">
        <v>54</v>
      </c>
      <c r="J22" s="4" t="s">
        <v>52</v>
      </c>
      <c r="K22" s="4" t="s">
        <v>53</v>
      </c>
      <c r="L22" s="4">
        <f t="shared" si="0"/>
        <v>0</v>
      </c>
      <c r="M22" s="5">
        <v>1.8111467361450199E-2</v>
      </c>
      <c r="N22" s="5">
        <v>-0.12775089627220521</v>
      </c>
      <c r="O22" s="5">
        <v>7.1527020931243898E-2</v>
      </c>
      <c r="P22" s="5">
        <v>0.12775089627220521</v>
      </c>
      <c r="Q22" s="5">
        <v>-1.8111467361450199E-2</v>
      </c>
      <c r="R22" s="5">
        <v>-7.1527020931243898E-2</v>
      </c>
    </row>
    <row r="23" spans="2:18" x14ac:dyDescent="0.2">
      <c r="L23" s="2"/>
    </row>
  </sheetData>
  <mergeCells count="4">
    <mergeCell ref="M6:O6"/>
    <mergeCell ref="P6:R6"/>
    <mergeCell ref="F6:I6"/>
    <mergeCell ref="J6:L6"/>
  </mergeCells>
  <conditionalFormatting sqref="M8:M22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8:N2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8:O2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P2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:Q2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:R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ignoredErrors>
    <ignoredError sqref="I8:I22 G8:G2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4D7EEFE-07B6-1845-B69B-9473FB1CE7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L8:L22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BABB-8FBC-B540-9904-E291515243AC}">
  <dimension ref="B2:S23"/>
  <sheetViews>
    <sheetView showGridLines="0" zoomScale="120" zoomScaleNormal="120" workbookViewId="0">
      <selection activeCell="E1" sqref="E1"/>
    </sheetView>
  </sheetViews>
  <sheetFormatPr baseColWidth="10" defaultColWidth="8.83203125" defaultRowHeight="15" x14ac:dyDescent="0.2"/>
  <cols>
    <col min="2" max="2" width="6.83203125" bestFit="1" customWidth="1"/>
    <col min="3" max="3" width="6.1640625" bestFit="1" customWidth="1"/>
    <col min="4" max="4" width="10.5" bestFit="1" customWidth="1"/>
    <col min="5" max="5" width="9.83203125" bestFit="1" customWidth="1"/>
    <col min="6" max="6" width="12.1640625" bestFit="1" customWidth="1"/>
    <col min="7" max="7" width="13.33203125" bestFit="1" customWidth="1"/>
    <col min="8" max="8" width="12.1640625" bestFit="1" customWidth="1"/>
    <col min="9" max="9" width="12.6640625" bestFit="1" customWidth="1"/>
    <col min="10" max="10" width="11" bestFit="1" customWidth="1"/>
    <col min="11" max="11" width="9.1640625" customWidth="1"/>
    <col min="12" max="12" width="10" customWidth="1"/>
    <col min="13" max="13" width="10" hidden="1" customWidth="1"/>
    <col min="14" max="15" width="10.1640625" bestFit="1" customWidth="1"/>
    <col min="16" max="16" width="10.6640625" bestFit="1" customWidth="1"/>
    <col min="17" max="18" width="10.1640625" bestFit="1" customWidth="1"/>
    <col min="19" max="19" width="10.6640625" bestFit="1" customWidth="1"/>
  </cols>
  <sheetData>
    <row r="2" spans="2:19" x14ac:dyDescent="0.2">
      <c r="B2" s="7" t="s">
        <v>64</v>
      </c>
      <c r="C2" s="4">
        <f>SUM($L$8:$L$22)</f>
        <v>12</v>
      </c>
    </row>
    <row r="3" spans="2:19" x14ac:dyDescent="0.2">
      <c r="B3" s="7" t="s">
        <v>63</v>
      </c>
      <c r="C3" s="4">
        <f>COUNTA($L$8:$L$23)</f>
        <v>15</v>
      </c>
    </row>
    <row r="4" spans="2:19" x14ac:dyDescent="0.2">
      <c r="B4" s="7" t="s">
        <v>65</v>
      </c>
      <c r="C4" s="8">
        <f>C2/C3</f>
        <v>0.8</v>
      </c>
    </row>
    <row r="5" spans="2:19" x14ac:dyDescent="0.2">
      <c r="C5" s="6"/>
    </row>
    <row r="6" spans="2:19" x14ac:dyDescent="0.2">
      <c r="F6" s="21" t="s">
        <v>62</v>
      </c>
      <c r="G6" s="22"/>
      <c r="H6" s="22"/>
      <c r="I6" s="23"/>
      <c r="J6" s="20" t="s">
        <v>60</v>
      </c>
      <c r="K6" s="20"/>
      <c r="L6" s="20"/>
      <c r="M6" s="7"/>
      <c r="N6" s="20" t="s">
        <v>55</v>
      </c>
      <c r="O6" s="20"/>
      <c r="P6" s="20"/>
      <c r="Q6" s="20" t="s">
        <v>56</v>
      </c>
      <c r="R6" s="20"/>
      <c r="S6" s="20"/>
    </row>
    <row r="7" spans="2:19" x14ac:dyDescent="0.2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7</v>
      </c>
      <c r="H7" s="1" t="s">
        <v>5</v>
      </c>
      <c r="I7" s="1" t="s">
        <v>8</v>
      </c>
      <c r="J7" s="1" t="s">
        <v>6</v>
      </c>
      <c r="K7" s="1" t="s">
        <v>9</v>
      </c>
      <c r="L7" s="1" t="s">
        <v>61</v>
      </c>
      <c r="M7" s="1" t="s">
        <v>87</v>
      </c>
      <c r="N7" s="1" t="s">
        <v>57</v>
      </c>
      <c r="O7" s="1" t="s">
        <v>58</v>
      </c>
      <c r="P7" s="1" t="s">
        <v>59</v>
      </c>
      <c r="Q7" s="1" t="s">
        <v>57</v>
      </c>
      <c r="R7" s="1" t="s">
        <v>58</v>
      </c>
      <c r="S7" s="1" t="s">
        <v>59</v>
      </c>
    </row>
    <row r="8" spans="2:19" x14ac:dyDescent="0.2">
      <c r="B8" s="4">
        <v>2025</v>
      </c>
      <c r="C8" s="4">
        <v>7</v>
      </c>
      <c r="D8" s="4" t="s">
        <v>41</v>
      </c>
      <c r="E8" s="4" t="s">
        <v>34</v>
      </c>
      <c r="F8" s="3">
        <v>0.48091505618325198</v>
      </c>
      <c r="G8" s="4" t="s">
        <v>72</v>
      </c>
      <c r="H8" s="3">
        <v>0.51908494381674797</v>
      </c>
      <c r="I8" s="4">
        <v>-107</v>
      </c>
      <c r="J8" s="4" t="s">
        <v>34</v>
      </c>
      <c r="K8" s="4" t="s">
        <v>41</v>
      </c>
      <c r="L8" s="4">
        <v>0</v>
      </c>
      <c r="M8" s="9">
        <v>-1.4250698445246861</v>
      </c>
      <c r="N8" s="5">
        <v>0.2892564309609903</v>
      </c>
      <c r="O8" s="5">
        <v>-0.27371408199441838</v>
      </c>
      <c r="P8" s="5">
        <v>-7.6034887631734216E-2</v>
      </c>
      <c r="Q8" s="5">
        <v>0.27371408199441838</v>
      </c>
      <c r="R8" s="5">
        <v>-0.2892564309609903</v>
      </c>
      <c r="S8" s="5">
        <v>7.6034887631734216E-2</v>
      </c>
    </row>
    <row r="9" spans="2:19" x14ac:dyDescent="0.2">
      <c r="B9" s="4">
        <v>2025</v>
      </c>
      <c r="C9" s="4">
        <v>7</v>
      </c>
      <c r="D9" s="4" t="s">
        <v>25</v>
      </c>
      <c r="E9" s="4" t="s">
        <v>17</v>
      </c>
      <c r="F9" s="3">
        <v>0.4697770280181664</v>
      </c>
      <c r="G9" s="4" t="s">
        <v>73</v>
      </c>
      <c r="H9" s="3">
        <v>0.53022297198183366</v>
      </c>
      <c r="I9" s="4">
        <v>-112</v>
      </c>
      <c r="J9" s="4" t="s">
        <v>17</v>
      </c>
      <c r="K9" s="4" t="s">
        <v>17</v>
      </c>
      <c r="L9" s="4">
        <v>1</v>
      </c>
      <c r="M9" s="9">
        <v>1.4094249739200091</v>
      </c>
      <c r="N9" s="5">
        <v>-0.14610879849164921</v>
      </c>
      <c r="O9" s="5">
        <v>-0.23843634306494871</v>
      </c>
      <c r="P9" s="5">
        <v>-0.2017850828170776</v>
      </c>
      <c r="Q9" s="5">
        <v>0.23843634306494871</v>
      </c>
      <c r="R9" s="5">
        <v>0.14610879849164921</v>
      </c>
      <c r="S9" s="5">
        <v>0.2017850828170776</v>
      </c>
    </row>
    <row r="10" spans="2:19" x14ac:dyDescent="0.2">
      <c r="B10" s="4">
        <v>2025</v>
      </c>
      <c r="C10" s="4">
        <v>7</v>
      </c>
      <c r="D10" s="4" t="s">
        <v>53</v>
      </c>
      <c r="E10" s="4" t="s">
        <v>31</v>
      </c>
      <c r="F10" s="3">
        <v>0.58504581457007887</v>
      </c>
      <c r="G10" s="4">
        <v>-140</v>
      </c>
      <c r="H10" s="3">
        <v>0.41495418542992107</v>
      </c>
      <c r="I10" s="4" t="s">
        <v>74</v>
      </c>
      <c r="J10" s="4" t="s">
        <v>53</v>
      </c>
      <c r="K10" s="4" t="s">
        <v>53</v>
      </c>
      <c r="L10" s="4">
        <v>1</v>
      </c>
      <c r="M10" s="9">
        <v>2.077665773400708</v>
      </c>
      <c r="N10" s="5">
        <v>1.3481160004933679E-2</v>
      </c>
      <c r="O10" s="5">
        <v>0.22400876095420441</v>
      </c>
      <c r="P10" s="5">
        <v>0.19784312725067141</v>
      </c>
      <c r="Q10" s="5">
        <v>-0.22400876095420441</v>
      </c>
      <c r="R10" s="5">
        <v>-1.3481160004933679E-2</v>
      </c>
      <c r="S10" s="5">
        <v>-0.19784312725067141</v>
      </c>
    </row>
    <row r="11" spans="2:19" x14ac:dyDescent="0.2">
      <c r="B11" s="4">
        <v>2025</v>
      </c>
      <c r="C11" s="4">
        <v>7</v>
      </c>
      <c r="D11" s="4" t="s">
        <v>35</v>
      </c>
      <c r="E11" s="4" t="s">
        <v>28</v>
      </c>
      <c r="F11" s="3">
        <v>0.33682566152992921</v>
      </c>
      <c r="G11" s="4" t="s">
        <v>75</v>
      </c>
      <c r="H11" s="3">
        <v>0.66317433847007079</v>
      </c>
      <c r="I11" s="4">
        <v>-196</v>
      </c>
      <c r="J11" s="4" t="s">
        <v>28</v>
      </c>
      <c r="K11" s="4" t="s">
        <v>35</v>
      </c>
      <c r="L11" s="4">
        <v>0</v>
      </c>
      <c r="M11" s="9">
        <v>-5.3109120018269902</v>
      </c>
      <c r="N11" s="5">
        <v>-1.7893692542766699E-2</v>
      </c>
      <c r="O11" s="5">
        <v>0.51155988631709925</v>
      </c>
      <c r="P11" s="5">
        <v>6.3372168540954593E-2</v>
      </c>
      <c r="Q11" s="5">
        <v>-0.51155988631709925</v>
      </c>
      <c r="R11" s="5">
        <v>1.7893692542766699E-2</v>
      </c>
      <c r="S11" s="5">
        <v>-6.3372168540954593E-2</v>
      </c>
    </row>
    <row r="12" spans="2:19" x14ac:dyDescent="0.2">
      <c r="B12" s="4">
        <v>2025</v>
      </c>
      <c r="C12" s="4">
        <v>7</v>
      </c>
      <c r="D12" s="4" t="s">
        <v>46</v>
      </c>
      <c r="E12" s="4" t="s">
        <v>37</v>
      </c>
      <c r="F12" s="3">
        <v>0.76251043499877103</v>
      </c>
      <c r="G12" s="4">
        <v>-321</v>
      </c>
      <c r="H12" s="3">
        <v>0.237489565001229</v>
      </c>
      <c r="I12" s="4" t="s">
        <v>76</v>
      </c>
      <c r="J12" s="4" t="s">
        <v>46</v>
      </c>
      <c r="K12" s="4" t="s">
        <v>46</v>
      </c>
      <c r="L12" s="4">
        <v>1</v>
      </c>
      <c r="M12" s="9">
        <v>10.94450305262311</v>
      </c>
      <c r="N12" s="5">
        <v>0.21717309951782229</v>
      </c>
      <c r="O12" s="5">
        <v>0.62946068899972096</v>
      </c>
      <c r="P12" s="5">
        <v>-0.24452790759858631</v>
      </c>
      <c r="Q12" s="5">
        <v>-0.62946068899972096</v>
      </c>
      <c r="R12" s="5">
        <v>-0.21717309951782229</v>
      </c>
      <c r="S12" s="5">
        <v>0.24452790759858631</v>
      </c>
    </row>
    <row r="13" spans="2:19" x14ac:dyDescent="0.2">
      <c r="B13" s="4">
        <v>2025</v>
      </c>
      <c r="C13" s="4">
        <v>7</v>
      </c>
      <c r="D13" s="4" t="s">
        <v>77</v>
      </c>
      <c r="E13" s="4" t="s">
        <v>11</v>
      </c>
      <c r="F13" s="3">
        <v>0.46008667986423529</v>
      </c>
      <c r="G13" s="4" t="s">
        <v>78</v>
      </c>
      <c r="H13" s="3">
        <v>0.53991332013576465</v>
      </c>
      <c r="I13" s="4">
        <v>-117</v>
      </c>
      <c r="J13" s="4" t="s">
        <v>11</v>
      </c>
      <c r="K13" s="4" t="s">
        <v>11</v>
      </c>
      <c r="L13" s="4">
        <v>1</v>
      </c>
      <c r="M13" s="9">
        <v>-3.3049392193540088</v>
      </c>
      <c r="N13" s="5">
        <v>-8.8495226873867752E-2</v>
      </c>
      <c r="O13" s="5">
        <v>-0.2084794616699219</v>
      </c>
      <c r="P13" s="5">
        <v>0.33452468448215061</v>
      </c>
      <c r="Q13" s="5">
        <v>0.2084794616699219</v>
      </c>
      <c r="R13" s="5">
        <v>8.8495226873867752E-2</v>
      </c>
      <c r="S13" s="5">
        <v>-0.33452468448215061</v>
      </c>
    </row>
    <row r="14" spans="2:19" x14ac:dyDescent="0.2">
      <c r="B14" s="4">
        <v>2025</v>
      </c>
      <c r="C14" s="4">
        <v>7</v>
      </c>
      <c r="D14" s="4" t="s">
        <v>13</v>
      </c>
      <c r="E14" s="4" t="s">
        <v>19</v>
      </c>
      <c r="F14" s="3">
        <v>0.43942512712718601</v>
      </c>
      <c r="G14" s="4" t="s">
        <v>79</v>
      </c>
      <c r="H14" s="3">
        <v>0.56057487287281405</v>
      </c>
      <c r="I14" s="4">
        <v>-127</v>
      </c>
      <c r="J14" s="4" t="s">
        <v>19</v>
      </c>
      <c r="K14" s="4" t="s">
        <v>19</v>
      </c>
      <c r="L14" s="4">
        <v>1</v>
      </c>
      <c r="M14" s="9">
        <v>-0.38674877042996991</v>
      </c>
      <c r="N14" s="5">
        <v>-0.26674718705434652</v>
      </c>
      <c r="O14" s="5">
        <v>8.5645286130233547E-2</v>
      </c>
      <c r="P14" s="5">
        <v>-0.1153125866599705</v>
      </c>
      <c r="Q14" s="5">
        <v>-8.5645286130233547E-2</v>
      </c>
      <c r="R14" s="5">
        <v>0.26674718705434652</v>
      </c>
      <c r="S14" s="5">
        <v>0.1153125866599705</v>
      </c>
    </row>
    <row r="15" spans="2:19" x14ac:dyDescent="0.2">
      <c r="B15" s="4">
        <v>2025</v>
      </c>
      <c r="C15" s="4">
        <v>7</v>
      </c>
      <c r="D15" s="4" t="s">
        <v>38</v>
      </c>
      <c r="E15" s="4" t="s">
        <v>32</v>
      </c>
      <c r="F15" s="3">
        <v>0.31228554858801227</v>
      </c>
      <c r="G15" s="4" t="s">
        <v>80</v>
      </c>
      <c r="H15" s="3">
        <v>0.68771445141198773</v>
      </c>
      <c r="I15" s="4">
        <v>-220</v>
      </c>
      <c r="J15" s="4" t="s">
        <v>32</v>
      </c>
      <c r="K15" s="4" t="s">
        <v>32</v>
      </c>
      <c r="L15" s="4">
        <v>1</v>
      </c>
      <c r="M15" s="9">
        <v>-8.9711202479371845</v>
      </c>
      <c r="N15" s="5">
        <v>-0.2847224341498481</v>
      </c>
      <c r="O15" s="5">
        <v>-0.24146947264671331</v>
      </c>
      <c r="P15" s="5">
        <v>0.26711339235305792</v>
      </c>
      <c r="Q15" s="5">
        <v>0.24146947264671331</v>
      </c>
      <c r="R15" s="5">
        <v>0.2847224341498481</v>
      </c>
      <c r="S15" s="5">
        <v>-0.26711339235305792</v>
      </c>
    </row>
    <row r="16" spans="2:19" x14ac:dyDescent="0.2">
      <c r="B16" s="4">
        <v>2025</v>
      </c>
      <c r="C16" s="4">
        <v>7</v>
      </c>
      <c r="D16" s="4" t="s">
        <v>14</v>
      </c>
      <c r="E16" s="4" t="s">
        <v>10</v>
      </c>
      <c r="F16" s="3">
        <v>0.74988507475852006</v>
      </c>
      <c r="G16" s="4">
        <v>-299</v>
      </c>
      <c r="H16" s="3">
        <v>0.25011492524147988</v>
      </c>
      <c r="I16" s="4" t="s">
        <v>81</v>
      </c>
      <c r="J16" s="4" t="s">
        <v>14</v>
      </c>
      <c r="K16" s="4" t="s">
        <v>14</v>
      </c>
      <c r="L16" s="4">
        <v>1</v>
      </c>
      <c r="M16" s="9">
        <v>11.012860068547649</v>
      </c>
      <c r="N16" s="5">
        <v>0.11573300710538539</v>
      </c>
      <c r="O16" s="5">
        <v>-0.19457486235065219</v>
      </c>
      <c r="P16" s="5">
        <v>9.7547495365142817E-2</v>
      </c>
      <c r="Q16" s="5">
        <v>0.19457486235065219</v>
      </c>
      <c r="R16" s="5">
        <v>-0.11573300710538539</v>
      </c>
      <c r="S16" s="5">
        <v>-9.7547495365142817E-2</v>
      </c>
    </row>
    <row r="17" spans="2:19" x14ac:dyDescent="0.2">
      <c r="B17" s="4">
        <v>2025</v>
      </c>
      <c r="C17" s="4">
        <v>7</v>
      </c>
      <c r="D17" s="4" t="s">
        <v>29</v>
      </c>
      <c r="E17" s="4" t="s">
        <v>22</v>
      </c>
      <c r="F17" s="3">
        <v>0.49048640075567862</v>
      </c>
      <c r="G17" s="4" t="s">
        <v>21</v>
      </c>
      <c r="H17" s="3">
        <v>0.50951359924432138</v>
      </c>
      <c r="I17" s="4">
        <v>-103</v>
      </c>
      <c r="J17" s="4" t="s">
        <v>22</v>
      </c>
      <c r="K17" s="4" t="s">
        <v>22</v>
      </c>
      <c r="L17" s="4">
        <v>1</v>
      </c>
      <c r="M17" s="9">
        <v>1.4672084619119219</v>
      </c>
      <c r="N17" s="5">
        <v>9.606735706329346E-2</v>
      </c>
      <c r="O17" s="5">
        <v>-0.44475957325526638</v>
      </c>
      <c r="P17" s="5">
        <v>-0.15667808833329569</v>
      </c>
      <c r="Q17" s="5">
        <v>0.44475957325526638</v>
      </c>
      <c r="R17" s="5">
        <v>-9.606735706329346E-2</v>
      </c>
      <c r="S17" s="5">
        <v>0.15667808833329569</v>
      </c>
    </row>
    <row r="18" spans="2:19" x14ac:dyDescent="0.2">
      <c r="B18" s="4">
        <v>2025</v>
      </c>
      <c r="C18" s="4">
        <v>7</v>
      </c>
      <c r="D18" s="4" t="s">
        <v>23</v>
      </c>
      <c r="E18" s="4" t="s">
        <v>40</v>
      </c>
      <c r="F18" s="3">
        <v>0.42954545430650298</v>
      </c>
      <c r="G18" s="4" t="s">
        <v>82</v>
      </c>
      <c r="H18" s="3">
        <v>0.57045454569349696</v>
      </c>
      <c r="I18" s="4">
        <v>-132</v>
      </c>
      <c r="J18" s="4" t="s">
        <v>40</v>
      </c>
      <c r="K18" s="4" t="s">
        <v>40</v>
      </c>
      <c r="L18" s="4">
        <v>1</v>
      </c>
      <c r="M18" s="9">
        <v>-1.7804052275222559</v>
      </c>
      <c r="N18" s="5">
        <v>-2.5914829028280159E-3</v>
      </c>
      <c r="O18" s="5">
        <v>-0.1183568579810006</v>
      </c>
      <c r="P18" s="5">
        <v>5.2370643615722648E-2</v>
      </c>
      <c r="Q18" s="5">
        <v>0.1183568579810006</v>
      </c>
      <c r="R18" s="5">
        <v>2.5914829028280159E-3</v>
      </c>
      <c r="S18" s="5">
        <v>-5.2370643615722648E-2</v>
      </c>
    </row>
    <row r="19" spans="2:19" x14ac:dyDescent="0.2">
      <c r="B19" s="4">
        <v>2025</v>
      </c>
      <c r="C19" s="4">
        <v>7</v>
      </c>
      <c r="D19" s="4" t="s">
        <v>20</v>
      </c>
      <c r="E19" s="4" t="s">
        <v>52</v>
      </c>
      <c r="F19" s="3">
        <v>0.45455862836252953</v>
      </c>
      <c r="G19" s="4" t="s">
        <v>83</v>
      </c>
      <c r="H19" s="3">
        <v>0.54544137163747053</v>
      </c>
      <c r="I19" s="4">
        <v>-119</v>
      </c>
      <c r="J19" s="4" t="s">
        <v>52</v>
      </c>
      <c r="K19" s="4" t="s">
        <v>20</v>
      </c>
      <c r="L19" s="4">
        <v>0</v>
      </c>
      <c r="M19" s="9">
        <v>-4.5381075063519329</v>
      </c>
      <c r="N19" s="5">
        <v>0.1580915451049805</v>
      </c>
      <c r="O19" s="5">
        <v>0.19612538473946711</v>
      </c>
      <c r="P19" s="5">
        <v>3.1338125467300422E-2</v>
      </c>
      <c r="Q19" s="5">
        <v>-0.19612538473946711</v>
      </c>
      <c r="R19" s="5">
        <v>-0.1580915451049805</v>
      </c>
      <c r="S19" s="5">
        <v>-3.1338125467300422E-2</v>
      </c>
    </row>
    <row r="20" spans="2:19" x14ac:dyDescent="0.2">
      <c r="B20" s="4">
        <v>2025</v>
      </c>
      <c r="C20" s="4">
        <v>7</v>
      </c>
      <c r="D20" s="4" t="s">
        <v>44</v>
      </c>
      <c r="E20" s="4" t="s">
        <v>49</v>
      </c>
      <c r="F20" s="3">
        <v>0.50845244587212157</v>
      </c>
      <c r="G20" s="4">
        <v>-103</v>
      </c>
      <c r="H20" s="3">
        <v>0.49154755412787843</v>
      </c>
      <c r="I20" s="4" t="s">
        <v>21</v>
      </c>
      <c r="J20" s="4" t="s">
        <v>44</v>
      </c>
      <c r="K20" s="4" t="s">
        <v>44</v>
      </c>
      <c r="L20" s="4">
        <v>1</v>
      </c>
      <c r="M20" s="9">
        <v>2.2762752910490929</v>
      </c>
      <c r="N20" s="5">
        <v>3.940850037794847E-2</v>
      </c>
      <c r="O20" s="5">
        <v>0.12123581857392279</v>
      </c>
      <c r="P20" s="5">
        <v>3.9254677295684812E-2</v>
      </c>
      <c r="Q20" s="5">
        <v>-0.12123581857392279</v>
      </c>
      <c r="R20" s="5">
        <v>-3.940850037794847E-2</v>
      </c>
      <c r="S20" s="5">
        <v>-3.9254677295684812E-2</v>
      </c>
    </row>
    <row r="21" spans="2:19" x14ac:dyDescent="0.2">
      <c r="B21" s="4">
        <v>2025</v>
      </c>
      <c r="C21" s="4">
        <v>7</v>
      </c>
      <c r="D21" s="4" t="s">
        <v>47</v>
      </c>
      <c r="E21" s="4" t="s">
        <v>43</v>
      </c>
      <c r="F21" s="3">
        <v>0.58751520990515615</v>
      </c>
      <c r="G21" s="4">
        <v>-142</v>
      </c>
      <c r="H21" s="3">
        <v>0.41248479009484379</v>
      </c>
      <c r="I21" s="4" t="s">
        <v>84</v>
      </c>
      <c r="J21" s="4" t="s">
        <v>47</v>
      </c>
      <c r="K21" s="4" t="s">
        <v>47</v>
      </c>
      <c r="L21" s="4">
        <v>1</v>
      </c>
      <c r="M21" s="9">
        <v>1.708276177187573</v>
      </c>
      <c r="N21" s="5">
        <v>-9.9057456425258095E-2</v>
      </c>
      <c r="O21" s="5">
        <v>0.35557553388070368</v>
      </c>
      <c r="P21" s="5">
        <v>-2.4791638056437179E-2</v>
      </c>
      <c r="Q21" s="5">
        <v>-0.35557553388070368</v>
      </c>
      <c r="R21" s="5">
        <v>9.9057456425258095E-2</v>
      </c>
      <c r="S21" s="5">
        <v>2.4791638056437179E-2</v>
      </c>
    </row>
    <row r="22" spans="2:19" x14ac:dyDescent="0.2">
      <c r="B22" s="4">
        <v>2025</v>
      </c>
      <c r="C22" s="4">
        <v>7</v>
      </c>
      <c r="D22" s="4" t="s">
        <v>26</v>
      </c>
      <c r="E22" s="4" t="s">
        <v>85</v>
      </c>
      <c r="F22" s="3">
        <v>0.6114152464153555</v>
      </c>
      <c r="G22" s="4">
        <v>-157</v>
      </c>
      <c r="H22" s="3">
        <v>0.3885847535846445</v>
      </c>
      <c r="I22" s="4" t="s">
        <v>86</v>
      </c>
      <c r="J22" s="4" t="s">
        <v>26</v>
      </c>
      <c r="K22" s="4" t="s">
        <v>26</v>
      </c>
      <c r="L22" s="4">
        <v>1</v>
      </c>
      <c r="M22" s="9">
        <v>3.7721629558467411</v>
      </c>
      <c r="N22" s="5">
        <v>-0.2309388319651286</v>
      </c>
      <c r="O22" s="5">
        <v>0.32778670571067109</v>
      </c>
      <c r="P22" s="5">
        <v>4.3519256512324023E-2</v>
      </c>
      <c r="Q22" s="5">
        <v>-0.32778670571067109</v>
      </c>
      <c r="R22" s="5">
        <v>0.2309388319651286</v>
      </c>
      <c r="S22" s="5">
        <v>-4.3519256512324023E-2</v>
      </c>
    </row>
    <row r="23" spans="2:19" x14ac:dyDescent="0.2">
      <c r="L23" s="2"/>
      <c r="M23" s="2"/>
    </row>
  </sheetData>
  <mergeCells count="4">
    <mergeCell ref="F6:I6"/>
    <mergeCell ref="J6:L6"/>
    <mergeCell ref="N6:P6"/>
    <mergeCell ref="Q6:S6"/>
  </mergeCells>
  <conditionalFormatting sqref="N8:N2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8:O2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P2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:Q2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:R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:S2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ignoredErrors>
    <ignoredError sqref="G8:G22 I10:I2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5BD3B9E-A024-CB43-93AB-D8F4191E70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L8:L22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BAC1-D709-AC4F-951E-5F0ED06816C5}">
  <dimension ref="B2:S21"/>
  <sheetViews>
    <sheetView showGridLines="0" zoomScale="120" zoomScaleNormal="120" workbookViewId="0">
      <selection activeCell="H24" sqref="H24"/>
    </sheetView>
  </sheetViews>
  <sheetFormatPr baseColWidth="10" defaultColWidth="8.83203125" defaultRowHeight="15" x14ac:dyDescent="0.2"/>
  <cols>
    <col min="2" max="2" width="6.83203125" bestFit="1" customWidth="1"/>
    <col min="3" max="3" width="6.1640625" bestFit="1" customWidth="1"/>
    <col min="4" max="4" width="10.5" bestFit="1" customWidth="1"/>
    <col min="5" max="5" width="9.83203125" bestFit="1" customWidth="1"/>
    <col min="6" max="6" width="12.1640625" bestFit="1" customWidth="1"/>
    <col min="7" max="7" width="13.33203125" bestFit="1" customWidth="1"/>
    <col min="8" max="8" width="12.1640625" bestFit="1" customWidth="1"/>
    <col min="9" max="9" width="12.6640625" bestFit="1" customWidth="1"/>
    <col min="10" max="10" width="11" bestFit="1" customWidth="1"/>
    <col min="11" max="11" width="9.1640625" customWidth="1"/>
    <col min="12" max="13" width="10" customWidth="1"/>
    <col min="14" max="15" width="10.1640625" bestFit="1" customWidth="1"/>
    <col min="16" max="16" width="10.6640625" bestFit="1" customWidth="1"/>
    <col min="17" max="18" width="10.1640625" bestFit="1" customWidth="1"/>
    <col min="19" max="19" width="10.6640625" bestFit="1" customWidth="1"/>
  </cols>
  <sheetData>
    <row r="2" spans="2:19" x14ac:dyDescent="0.2">
      <c r="B2" s="7" t="s">
        <v>64</v>
      </c>
      <c r="C2" s="4">
        <f>SUM($L$8:$L$20)</f>
        <v>11</v>
      </c>
    </row>
    <row r="3" spans="2:19" x14ac:dyDescent="0.2">
      <c r="B3" s="7" t="s">
        <v>63</v>
      </c>
      <c r="C3" s="4">
        <f>COUNTA($L$8:$L$21)</f>
        <v>13</v>
      </c>
    </row>
    <row r="4" spans="2:19" x14ac:dyDescent="0.2">
      <c r="B4" s="7" t="s">
        <v>65</v>
      </c>
      <c r="C4" s="8">
        <f>C2/C3</f>
        <v>0.84615384615384615</v>
      </c>
    </row>
    <row r="5" spans="2:19" x14ac:dyDescent="0.2">
      <c r="C5" s="6"/>
    </row>
    <row r="6" spans="2:19" x14ac:dyDescent="0.2">
      <c r="F6" s="21" t="s">
        <v>62</v>
      </c>
      <c r="G6" s="22"/>
      <c r="H6" s="22"/>
      <c r="I6" s="23"/>
      <c r="J6" s="20" t="s">
        <v>60</v>
      </c>
      <c r="K6" s="20"/>
      <c r="L6" s="20"/>
      <c r="M6" s="7"/>
      <c r="N6" s="20" t="s">
        <v>55</v>
      </c>
      <c r="O6" s="20"/>
      <c r="P6" s="20"/>
      <c r="Q6" s="20" t="s">
        <v>56</v>
      </c>
      <c r="R6" s="20"/>
      <c r="S6" s="20"/>
    </row>
    <row r="7" spans="2:19" x14ac:dyDescent="0.2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7</v>
      </c>
      <c r="H7" s="1" t="s">
        <v>5</v>
      </c>
      <c r="I7" s="1" t="s">
        <v>8</v>
      </c>
      <c r="J7" s="1" t="s">
        <v>6</v>
      </c>
      <c r="K7" s="1" t="s">
        <v>9</v>
      </c>
      <c r="L7" s="1" t="s">
        <v>61</v>
      </c>
      <c r="M7" s="1" t="s">
        <v>87</v>
      </c>
      <c r="N7" s="1" t="s">
        <v>57</v>
      </c>
      <c r="O7" s="1" t="s">
        <v>58</v>
      </c>
      <c r="P7" s="1" t="s">
        <v>59</v>
      </c>
      <c r="Q7" s="1" t="s">
        <v>57</v>
      </c>
      <c r="R7" s="1" t="s">
        <v>58</v>
      </c>
      <c r="S7" s="1" t="s">
        <v>59</v>
      </c>
    </row>
    <row r="8" spans="2:19" x14ac:dyDescent="0.2">
      <c r="B8" s="4">
        <v>2025</v>
      </c>
      <c r="C8" s="4">
        <v>8</v>
      </c>
      <c r="D8" s="4" t="s">
        <v>29</v>
      </c>
      <c r="E8" s="4" t="s">
        <v>77</v>
      </c>
      <c r="F8" s="3">
        <v>0.53600000000000003</v>
      </c>
      <c r="G8" s="4">
        <v>-120</v>
      </c>
      <c r="H8" s="3">
        <v>0.46400000000000002</v>
      </c>
      <c r="I8" s="4" t="s">
        <v>88</v>
      </c>
      <c r="J8" s="4" t="s">
        <v>29</v>
      </c>
      <c r="K8" s="4" t="s">
        <v>29</v>
      </c>
      <c r="L8" s="4">
        <v>1</v>
      </c>
      <c r="M8" s="9">
        <v>0.3</v>
      </c>
      <c r="N8" s="5">
        <v>0.2057301584879557</v>
      </c>
      <c r="O8" s="5">
        <v>0.33306914684819239</v>
      </c>
      <c r="P8" s="5">
        <v>-1.306361189255348E-2</v>
      </c>
      <c r="Q8" s="5">
        <v>-0.33306914684819239</v>
      </c>
      <c r="R8" s="5">
        <v>-0.2057301584879557</v>
      </c>
      <c r="S8" s="5">
        <v>1.306361189255348E-2</v>
      </c>
    </row>
    <row r="9" spans="2:19" x14ac:dyDescent="0.2">
      <c r="B9" s="4">
        <v>2025</v>
      </c>
      <c r="C9" s="4">
        <v>8</v>
      </c>
      <c r="D9" s="4" t="s">
        <v>49</v>
      </c>
      <c r="E9" s="4" t="s">
        <v>28</v>
      </c>
      <c r="F9" s="3">
        <v>0.58599999999999997</v>
      </c>
      <c r="G9" s="4">
        <v>-144</v>
      </c>
      <c r="H9" s="3">
        <v>0.41399999999999998</v>
      </c>
      <c r="I9" s="4" t="s">
        <v>89</v>
      </c>
      <c r="J9" s="4" t="s">
        <v>49</v>
      </c>
      <c r="K9" s="4" t="s">
        <v>28</v>
      </c>
      <c r="L9" s="4">
        <v>0</v>
      </c>
      <c r="M9" s="9">
        <v>1.8</v>
      </c>
      <c r="N9" s="5">
        <v>-0.30089873893588198</v>
      </c>
      <c r="O9" s="5">
        <v>-0.1334456716264997</v>
      </c>
      <c r="P9" s="5">
        <v>-0.14619972229003911</v>
      </c>
      <c r="Q9" s="5">
        <v>0.1334456716264997</v>
      </c>
      <c r="R9" s="5">
        <v>0.30089873893588198</v>
      </c>
      <c r="S9" s="5">
        <v>0.14619972229003911</v>
      </c>
    </row>
    <row r="10" spans="2:19" x14ac:dyDescent="0.2">
      <c r="B10" s="4">
        <v>2025</v>
      </c>
      <c r="C10" s="4">
        <v>8</v>
      </c>
      <c r="D10" s="4" t="s">
        <v>16</v>
      </c>
      <c r="E10" s="4" t="s">
        <v>53</v>
      </c>
      <c r="F10" s="3">
        <v>0.61263915597612162</v>
      </c>
      <c r="G10" s="4">
        <v>-158</v>
      </c>
      <c r="H10" s="3">
        <v>0.38736084402387838</v>
      </c>
      <c r="I10" s="4" t="s">
        <v>90</v>
      </c>
      <c r="J10" s="4" t="s">
        <v>16</v>
      </c>
      <c r="K10" s="4" t="s">
        <v>16</v>
      </c>
      <c r="L10" s="4">
        <v>1</v>
      </c>
      <c r="M10" s="9">
        <v>4.5999999999999996</v>
      </c>
      <c r="N10" s="5">
        <v>0.207928833594689</v>
      </c>
      <c r="O10" s="5">
        <v>-1.7090889123769909E-2</v>
      </c>
      <c r="P10" s="5">
        <v>8.4218422571818038E-2</v>
      </c>
      <c r="Q10" s="5">
        <v>1.7090889123769909E-2</v>
      </c>
      <c r="R10" s="5">
        <v>-0.207928833594689</v>
      </c>
      <c r="S10" s="5">
        <v>-8.4218422571818038E-2</v>
      </c>
    </row>
    <row r="11" spans="2:19" x14ac:dyDescent="0.2">
      <c r="B11" s="4">
        <v>2025</v>
      </c>
      <c r="C11" s="4">
        <v>8</v>
      </c>
      <c r="D11" s="4" t="s">
        <v>19</v>
      </c>
      <c r="E11" s="4" t="s">
        <v>50</v>
      </c>
      <c r="F11" s="3">
        <v>0.34699999999999998</v>
      </c>
      <c r="G11" s="4" t="s">
        <v>91</v>
      </c>
      <c r="H11" s="3">
        <v>0.65300000000000002</v>
      </c>
      <c r="I11" s="4">
        <v>-204</v>
      </c>
      <c r="J11" s="4" t="s">
        <v>50</v>
      </c>
      <c r="K11" s="4" t="s">
        <v>50</v>
      </c>
      <c r="L11" s="4">
        <v>1</v>
      </c>
      <c r="M11" s="9">
        <v>-8.9</v>
      </c>
      <c r="N11" s="5">
        <v>-0.31306085430207797</v>
      </c>
      <c r="O11" s="5">
        <v>-0.32291098374586841</v>
      </c>
      <c r="P11" s="5">
        <v>4.84122633934021E-2</v>
      </c>
      <c r="Q11" s="5">
        <v>0.32291098374586841</v>
      </c>
      <c r="R11" s="5">
        <v>0.31306085430207797</v>
      </c>
      <c r="S11" s="5">
        <v>-4.84122633934021E-2</v>
      </c>
    </row>
    <row r="12" spans="2:19" x14ac:dyDescent="0.2">
      <c r="B12" s="4">
        <v>2025</v>
      </c>
      <c r="C12" s="4">
        <v>8</v>
      </c>
      <c r="D12" s="4" t="s">
        <v>41</v>
      </c>
      <c r="E12" s="4" t="s">
        <v>13</v>
      </c>
      <c r="F12" s="3">
        <v>0.60399999999999998</v>
      </c>
      <c r="G12" s="4">
        <v>-148</v>
      </c>
      <c r="H12" s="3">
        <v>0.39600000000000002</v>
      </c>
      <c r="I12" s="4" t="s">
        <v>92</v>
      </c>
      <c r="J12" s="4" t="s">
        <v>41</v>
      </c>
      <c r="K12" s="4" t="s">
        <v>13</v>
      </c>
      <c r="L12" s="4">
        <v>0</v>
      </c>
      <c r="M12" s="9">
        <v>2.4368333092892551</v>
      </c>
      <c r="N12" s="5">
        <v>0.2565590540568034</v>
      </c>
      <c r="O12" s="5">
        <v>-0.31294928656684029</v>
      </c>
      <c r="P12" s="5">
        <v>6.210208733876546E-2</v>
      </c>
      <c r="Q12" s="5">
        <v>0.31294928656684029</v>
      </c>
      <c r="R12" s="5">
        <v>-0.2565590540568034</v>
      </c>
      <c r="S12" s="5">
        <v>-6.210208733876546E-2</v>
      </c>
    </row>
    <row r="13" spans="2:19" x14ac:dyDescent="0.2">
      <c r="B13" s="4">
        <v>2025</v>
      </c>
      <c r="C13" s="4">
        <v>8</v>
      </c>
      <c r="D13" s="4" t="s">
        <v>85</v>
      </c>
      <c r="E13" s="4" t="s">
        <v>44</v>
      </c>
      <c r="F13" s="3">
        <v>0.53600000000000003</v>
      </c>
      <c r="G13" s="4">
        <v>-116</v>
      </c>
      <c r="H13" s="3">
        <v>0.46400000000000002</v>
      </c>
      <c r="I13" s="4" t="s">
        <v>18</v>
      </c>
      <c r="J13" s="4" t="s">
        <v>85</v>
      </c>
      <c r="K13" s="4" t="s">
        <v>85</v>
      </c>
      <c r="L13" s="4">
        <v>1</v>
      </c>
      <c r="M13" s="9">
        <v>4</v>
      </c>
      <c r="N13" s="5">
        <v>0.21049607105744189</v>
      </c>
      <c r="O13" s="5">
        <v>3.6765984126499722E-2</v>
      </c>
      <c r="P13" s="5">
        <v>-0.118862638870875</v>
      </c>
      <c r="Q13" s="5">
        <v>-3.6765984126499722E-2</v>
      </c>
      <c r="R13" s="5">
        <v>-0.21049607105744189</v>
      </c>
      <c r="S13" s="5">
        <v>0.118862638870875</v>
      </c>
    </row>
    <row r="14" spans="2:19" x14ac:dyDescent="0.2">
      <c r="B14" s="4">
        <v>2025</v>
      </c>
      <c r="C14" s="4">
        <v>8</v>
      </c>
      <c r="D14" s="4" t="s">
        <v>32</v>
      </c>
      <c r="E14" s="4" t="s">
        <v>35</v>
      </c>
      <c r="F14" s="3">
        <v>0.79861869943742581</v>
      </c>
      <c r="G14" s="4">
        <v>-396</v>
      </c>
      <c r="H14" s="3">
        <v>0.20138130056257419</v>
      </c>
      <c r="I14" s="4" t="s">
        <v>93</v>
      </c>
      <c r="J14" s="4" t="s">
        <v>32</v>
      </c>
      <c r="K14" s="4" t="s">
        <v>32</v>
      </c>
      <c r="L14" s="4">
        <v>1</v>
      </c>
      <c r="M14" s="9">
        <v>9.4</v>
      </c>
      <c r="N14" s="5">
        <v>7.3067423123032299E-2</v>
      </c>
      <c r="O14" s="5">
        <v>0.31074229153719818</v>
      </c>
      <c r="P14" s="5">
        <v>9.6539397239685062E-2</v>
      </c>
      <c r="Q14" s="5">
        <v>-0.31074229153719818</v>
      </c>
      <c r="R14" s="5">
        <v>-7.3067423123032299E-2</v>
      </c>
      <c r="S14" s="5">
        <v>-9.6539397239685062E-2</v>
      </c>
    </row>
    <row r="15" spans="2:19" x14ac:dyDescent="0.2">
      <c r="B15" s="4">
        <v>2025</v>
      </c>
      <c r="C15" s="4">
        <v>8</v>
      </c>
      <c r="D15" s="4" t="s">
        <v>11</v>
      </c>
      <c r="E15" s="4" t="s">
        <v>10</v>
      </c>
      <c r="F15" s="3">
        <v>0.69799999999999995</v>
      </c>
      <c r="G15" s="4">
        <v>-227</v>
      </c>
      <c r="H15" s="3">
        <v>0.30199999999999999</v>
      </c>
      <c r="I15" s="4" t="s">
        <v>94</v>
      </c>
      <c r="J15" s="4" t="s">
        <v>11</v>
      </c>
      <c r="K15" s="4" t="s">
        <v>11</v>
      </c>
      <c r="L15" s="4">
        <v>1</v>
      </c>
      <c r="M15" s="9">
        <v>8.2929670319251017</v>
      </c>
      <c r="N15" s="5">
        <v>0.38337591138936711</v>
      </c>
      <c r="O15" s="5">
        <v>-4.1866832309299037E-2</v>
      </c>
      <c r="P15" s="5">
        <v>-2.1435081958770748E-2</v>
      </c>
      <c r="Q15" s="5">
        <v>4.1866832309299037E-2</v>
      </c>
      <c r="R15" s="5">
        <v>-0.38337591138936711</v>
      </c>
      <c r="S15" s="5">
        <v>2.1435081958770748E-2</v>
      </c>
    </row>
    <row r="16" spans="2:19" x14ac:dyDescent="0.2">
      <c r="B16" s="4">
        <v>2025</v>
      </c>
      <c r="C16" s="4">
        <v>8</v>
      </c>
      <c r="D16" s="4" t="s">
        <v>31</v>
      </c>
      <c r="E16" s="4" t="s">
        <v>43</v>
      </c>
      <c r="F16" s="3">
        <v>0.28199999999999997</v>
      </c>
      <c r="G16" s="4" t="s">
        <v>95</v>
      </c>
      <c r="H16" s="3">
        <v>0.71799999999999997</v>
      </c>
      <c r="I16" s="4">
        <v>-260</v>
      </c>
      <c r="J16" s="4" t="s">
        <v>43</v>
      </c>
      <c r="K16" s="4" t="s">
        <v>43</v>
      </c>
      <c r="L16" s="4">
        <v>1</v>
      </c>
      <c r="M16" s="9">
        <v>-7.4</v>
      </c>
      <c r="N16" s="5">
        <v>-0.46523212742161107</v>
      </c>
      <c r="O16" s="5">
        <v>0.16694886567162689</v>
      </c>
      <c r="P16" s="5">
        <v>-0.19439544081687929</v>
      </c>
      <c r="Q16" s="5">
        <v>-0.16694886567162689</v>
      </c>
      <c r="R16" s="5">
        <v>0.46523212742161107</v>
      </c>
      <c r="S16" s="5">
        <v>0.19439544081687929</v>
      </c>
    </row>
    <row r="17" spans="2:19" x14ac:dyDescent="0.2">
      <c r="B17" s="4">
        <v>2025</v>
      </c>
      <c r="C17" s="4">
        <v>8</v>
      </c>
      <c r="D17" s="4" t="s">
        <v>14</v>
      </c>
      <c r="E17" s="4" t="s">
        <v>20</v>
      </c>
      <c r="F17" s="3">
        <v>0.57799999999999996</v>
      </c>
      <c r="G17" s="4">
        <v>-139</v>
      </c>
      <c r="H17" s="3">
        <v>0.42199999999999999</v>
      </c>
      <c r="I17" s="4" t="s">
        <v>24</v>
      </c>
      <c r="J17" s="4" t="s">
        <v>14</v>
      </c>
      <c r="K17" s="4" t="s">
        <v>14</v>
      </c>
      <c r="L17" s="4">
        <v>1</v>
      </c>
      <c r="M17" s="9">
        <v>6.3</v>
      </c>
      <c r="N17" s="5">
        <v>0.37087668142011088</v>
      </c>
      <c r="O17" s="5">
        <v>-4.4475715411336797E-2</v>
      </c>
      <c r="P17" s="5">
        <v>1.7721645037333169E-2</v>
      </c>
      <c r="Q17" s="5">
        <v>4.4475715411336797E-2</v>
      </c>
      <c r="R17" s="5">
        <v>-0.37087668142011088</v>
      </c>
      <c r="S17" s="5">
        <v>-1.7721645037333169E-2</v>
      </c>
    </row>
    <row r="18" spans="2:19" x14ac:dyDescent="0.2">
      <c r="B18" s="4">
        <v>2025</v>
      </c>
      <c r="C18" s="4">
        <v>8</v>
      </c>
      <c r="D18" s="4" t="s">
        <v>22</v>
      </c>
      <c r="E18" s="4" t="s">
        <v>38</v>
      </c>
      <c r="F18" s="3">
        <v>0.86399999999999999</v>
      </c>
      <c r="G18" s="4">
        <v>-646</v>
      </c>
      <c r="H18" s="3">
        <v>0.13600000000000001</v>
      </c>
      <c r="I18" s="4" t="s">
        <v>96</v>
      </c>
      <c r="J18" s="4" t="s">
        <v>22</v>
      </c>
      <c r="K18" s="4" t="s">
        <v>22</v>
      </c>
      <c r="L18" s="4">
        <v>1</v>
      </c>
      <c r="M18" s="9">
        <v>13</v>
      </c>
      <c r="N18" s="5">
        <v>0.34562467179208428</v>
      </c>
      <c r="O18" s="5">
        <v>3.6582742912181908E-2</v>
      </c>
      <c r="P18" s="5">
        <v>0.2630864807537624</v>
      </c>
      <c r="Q18" s="5">
        <v>-3.6582742912181908E-2</v>
      </c>
      <c r="R18" s="5">
        <v>-0.34562467179208428</v>
      </c>
      <c r="S18" s="5">
        <v>-0.2630864807537624</v>
      </c>
    </row>
    <row r="19" spans="2:19" x14ac:dyDescent="0.2">
      <c r="B19" s="4">
        <v>2025</v>
      </c>
      <c r="C19" s="4">
        <v>8</v>
      </c>
      <c r="D19" s="4" t="s">
        <v>34</v>
      </c>
      <c r="E19" s="4" t="s">
        <v>40</v>
      </c>
      <c r="F19" s="3">
        <v>0.41299999999999998</v>
      </c>
      <c r="G19" s="4" t="s">
        <v>97</v>
      </c>
      <c r="H19" s="3">
        <v>0.58699999999999997</v>
      </c>
      <c r="I19" s="4">
        <v>-138</v>
      </c>
      <c r="J19" s="4" t="s">
        <v>40</v>
      </c>
      <c r="K19" s="4" t="s">
        <v>40</v>
      </c>
      <c r="L19" s="4">
        <v>1</v>
      </c>
      <c r="M19" s="9">
        <v>-3.5</v>
      </c>
      <c r="N19" s="5">
        <v>-0.12485238164663311</v>
      </c>
      <c r="O19" s="5">
        <v>-0.32949493044898631</v>
      </c>
      <c r="P19" s="5">
        <v>0.42716217041015619</v>
      </c>
      <c r="Q19" s="5">
        <v>0.32949493044898631</v>
      </c>
      <c r="R19" s="5">
        <v>0.12485238164663311</v>
      </c>
      <c r="S19" s="5">
        <v>-0.42716217041015619</v>
      </c>
    </row>
    <row r="20" spans="2:19" x14ac:dyDescent="0.2">
      <c r="B20" s="4">
        <v>2025</v>
      </c>
      <c r="C20" s="4">
        <v>8</v>
      </c>
      <c r="D20" s="4" t="s">
        <v>46</v>
      </c>
      <c r="E20" s="4" t="s">
        <v>52</v>
      </c>
      <c r="F20" s="3">
        <v>0.61699999999999999</v>
      </c>
      <c r="G20" s="4">
        <v>-160</v>
      </c>
      <c r="H20" s="3">
        <v>0.38300000000000001</v>
      </c>
      <c r="I20" s="4" t="s">
        <v>98</v>
      </c>
      <c r="J20" s="4" t="s">
        <v>46</v>
      </c>
      <c r="K20" s="4" t="s">
        <v>46</v>
      </c>
      <c r="L20" s="4">
        <v>1</v>
      </c>
      <c r="M20" s="9">
        <v>4.5</v>
      </c>
      <c r="N20" s="5">
        <v>0.26601785688257928</v>
      </c>
      <c r="O20" s="5">
        <v>0.16544209586249459</v>
      </c>
      <c r="P20" s="5">
        <v>-0.18689228594303131</v>
      </c>
      <c r="Q20" s="5">
        <v>-0.16544209586249459</v>
      </c>
      <c r="R20" s="5">
        <v>-0.26601785688257928</v>
      </c>
      <c r="S20" s="5">
        <v>0.18689228594303131</v>
      </c>
    </row>
    <row r="21" spans="2:19" x14ac:dyDescent="0.2">
      <c r="L21" s="2"/>
      <c r="M21" s="2"/>
    </row>
  </sheetData>
  <mergeCells count="4">
    <mergeCell ref="F6:I6"/>
    <mergeCell ref="J6:L6"/>
    <mergeCell ref="N6:P6"/>
    <mergeCell ref="Q6:S6"/>
  </mergeCells>
  <conditionalFormatting sqref="N8:N20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8:O20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P20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:Q20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:R20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:S20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ignoredErrors>
    <ignoredError sqref="G11:G20 I8:I20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1910A72D-AAC8-0C48-B114-65D7CFCA79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L8:L20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A5CD-9ABB-684B-97CA-499DC15CED77}">
  <dimension ref="B2:S21"/>
  <sheetViews>
    <sheetView showGridLines="0" zoomScale="120" zoomScaleNormal="120" workbookViewId="0">
      <selection activeCell="K19" sqref="K19"/>
    </sheetView>
  </sheetViews>
  <sheetFormatPr baseColWidth="10" defaultColWidth="8.83203125" defaultRowHeight="15" x14ac:dyDescent="0.2"/>
  <cols>
    <col min="2" max="2" width="6.83203125" bestFit="1" customWidth="1"/>
    <col min="3" max="3" width="6.1640625" bestFit="1" customWidth="1"/>
    <col min="4" max="4" width="10.5" bestFit="1" customWidth="1"/>
    <col min="5" max="5" width="9.83203125" bestFit="1" customWidth="1"/>
    <col min="6" max="6" width="12.1640625" bestFit="1" customWidth="1"/>
    <col min="7" max="7" width="13.33203125" bestFit="1" customWidth="1"/>
    <col min="8" max="8" width="12.1640625" bestFit="1" customWidth="1"/>
    <col min="9" max="9" width="12.6640625" bestFit="1" customWidth="1"/>
    <col min="10" max="10" width="11" bestFit="1" customWidth="1"/>
    <col min="11" max="11" width="9.1640625" customWidth="1"/>
    <col min="12" max="13" width="10" customWidth="1"/>
    <col min="14" max="15" width="10.1640625" bestFit="1" customWidth="1"/>
    <col min="16" max="16" width="10.6640625" bestFit="1" customWidth="1"/>
    <col min="17" max="18" width="10.1640625" bestFit="1" customWidth="1"/>
    <col min="19" max="19" width="10.6640625" bestFit="1" customWidth="1"/>
  </cols>
  <sheetData>
    <row r="2" spans="2:19" x14ac:dyDescent="0.2">
      <c r="B2" s="7" t="s">
        <v>64</v>
      </c>
      <c r="C2" s="4">
        <f>SUM($L$8:$L$20)</f>
        <v>7</v>
      </c>
    </row>
    <row r="3" spans="2:19" x14ac:dyDescent="0.2">
      <c r="B3" s="7" t="s">
        <v>63</v>
      </c>
      <c r="C3" s="4">
        <f>COUNTA($L$8:$L$21)</f>
        <v>14</v>
      </c>
    </row>
    <row r="4" spans="2:19" x14ac:dyDescent="0.2">
      <c r="B4" s="7" t="s">
        <v>65</v>
      </c>
      <c r="C4" s="8">
        <f>C2/C3</f>
        <v>0.5</v>
      </c>
    </row>
    <row r="5" spans="2:19" x14ac:dyDescent="0.2">
      <c r="C5" s="6"/>
    </row>
    <row r="6" spans="2:19" x14ac:dyDescent="0.2">
      <c r="F6" s="21" t="s">
        <v>62</v>
      </c>
      <c r="G6" s="22"/>
      <c r="H6" s="22"/>
      <c r="I6" s="23"/>
      <c r="J6" s="20" t="s">
        <v>60</v>
      </c>
      <c r="K6" s="20"/>
      <c r="L6" s="20"/>
      <c r="M6" s="7"/>
      <c r="N6" s="20" t="s">
        <v>55</v>
      </c>
      <c r="O6" s="20"/>
      <c r="P6" s="20"/>
      <c r="Q6" s="20" t="s">
        <v>56</v>
      </c>
      <c r="R6" s="20"/>
      <c r="S6" s="20"/>
    </row>
    <row r="7" spans="2:19" x14ac:dyDescent="0.2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7</v>
      </c>
      <c r="H7" s="1" t="s">
        <v>5</v>
      </c>
      <c r="I7" s="1" t="s">
        <v>8</v>
      </c>
      <c r="J7" s="1" t="s">
        <v>6</v>
      </c>
      <c r="K7" s="1" t="s">
        <v>9</v>
      </c>
      <c r="L7" s="1" t="s">
        <v>61</v>
      </c>
      <c r="M7" s="1" t="s">
        <v>87</v>
      </c>
      <c r="N7" s="1" t="s">
        <v>57</v>
      </c>
      <c r="O7" s="1" t="s">
        <v>58</v>
      </c>
      <c r="P7" s="1" t="s">
        <v>59</v>
      </c>
      <c r="Q7" s="1" t="s">
        <v>57</v>
      </c>
      <c r="R7" s="1" t="s">
        <v>58</v>
      </c>
      <c r="S7" s="1" t="s">
        <v>59</v>
      </c>
    </row>
    <row r="8" spans="2:19" x14ac:dyDescent="0.2">
      <c r="B8" s="4">
        <v>2025</v>
      </c>
      <c r="C8" s="4">
        <v>9</v>
      </c>
      <c r="D8" s="4" t="s">
        <v>28</v>
      </c>
      <c r="E8" s="4" t="s">
        <v>16</v>
      </c>
      <c r="F8" s="3">
        <v>0.44668876121047069</v>
      </c>
      <c r="G8" s="4" t="s">
        <v>99</v>
      </c>
      <c r="H8" s="3">
        <v>0.55331123878952926</v>
      </c>
      <c r="I8" s="4" t="s">
        <v>100</v>
      </c>
      <c r="J8" s="4" t="s">
        <v>16</v>
      </c>
      <c r="K8" s="4" t="s">
        <v>16</v>
      </c>
      <c r="L8" s="4">
        <v>1</v>
      </c>
      <c r="M8" s="9">
        <v>-1.8151554391342779</v>
      </c>
      <c r="N8" s="5">
        <v>-0.225263125860869</v>
      </c>
      <c r="O8" s="5">
        <v>-0.16305417027966729</v>
      </c>
      <c r="P8" s="5">
        <v>-1.721596966187159E-2</v>
      </c>
      <c r="Q8" s="5">
        <v>0.16305417027966729</v>
      </c>
      <c r="R8" s="5">
        <v>0.225263125860869</v>
      </c>
      <c r="S8" s="5">
        <v>1.721596966187159E-2</v>
      </c>
    </row>
    <row r="9" spans="2:19" x14ac:dyDescent="0.2">
      <c r="B9" s="4">
        <v>2025</v>
      </c>
      <c r="C9" s="4">
        <v>9</v>
      </c>
      <c r="D9" s="4" t="s">
        <v>41</v>
      </c>
      <c r="E9" s="4" t="s">
        <v>53</v>
      </c>
      <c r="F9" s="3">
        <v>0.60003242203207108</v>
      </c>
      <c r="G9" s="4" t="s">
        <v>101</v>
      </c>
      <c r="H9" s="3">
        <v>0.39996757796792892</v>
      </c>
      <c r="I9" s="4" t="s">
        <v>102</v>
      </c>
      <c r="J9" s="4" t="s">
        <v>41</v>
      </c>
      <c r="K9" s="4" t="s">
        <v>53</v>
      </c>
      <c r="L9" s="4">
        <v>0</v>
      </c>
      <c r="M9" s="9">
        <v>5.213673208336898</v>
      </c>
      <c r="N9" s="5">
        <v>0.18499578748430531</v>
      </c>
      <c r="O9" s="5">
        <v>-0.43041532585419812</v>
      </c>
      <c r="P9" s="5">
        <v>0.35861015319824219</v>
      </c>
      <c r="Q9" s="5">
        <v>0.43041532585419812</v>
      </c>
      <c r="R9" s="5">
        <v>-0.18499578748430531</v>
      </c>
      <c r="S9" s="5">
        <v>-0.35861015319824219</v>
      </c>
    </row>
    <row r="10" spans="2:19" x14ac:dyDescent="0.2">
      <c r="B10" s="4">
        <v>2025</v>
      </c>
      <c r="C10" s="4">
        <v>9</v>
      </c>
      <c r="D10" s="4" t="s">
        <v>47</v>
      </c>
      <c r="E10" s="4" t="s">
        <v>77</v>
      </c>
      <c r="F10" s="3">
        <v>0.69773234427470909</v>
      </c>
      <c r="G10" s="4" t="s">
        <v>103</v>
      </c>
      <c r="H10" s="3">
        <v>0.30226765572529091</v>
      </c>
      <c r="I10" s="4" t="s">
        <v>104</v>
      </c>
      <c r="J10" s="4" t="s">
        <v>47</v>
      </c>
      <c r="K10" s="4" t="s">
        <v>77</v>
      </c>
      <c r="L10" s="4">
        <v>0</v>
      </c>
      <c r="M10" s="9">
        <v>5.1113255983497101</v>
      </c>
      <c r="N10" s="5">
        <v>-3.801141065709731E-2</v>
      </c>
      <c r="O10" s="5">
        <v>1.8339883035688259E-2</v>
      </c>
      <c r="P10" s="5">
        <v>-0.17444229920705159</v>
      </c>
      <c r="Q10" s="5">
        <v>-1.8339883035688259E-2</v>
      </c>
      <c r="R10" s="5">
        <v>3.801141065709731E-2</v>
      </c>
      <c r="S10" s="5">
        <v>0.17444229920705159</v>
      </c>
    </row>
    <row r="11" spans="2:19" x14ac:dyDescent="0.2">
      <c r="B11" s="4">
        <v>2025</v>
      </c>
      <c r="C11" s="4">
        <v>9</v>
      </c>
      <c r="D11" s="4" t="s">
        <v>40</v>
      </c>
      <c r="E11" s="4" t="s">
        <v>19</v>
      </c>
      <c r="F11" s="3">
        <v>0.71077260123876596</v>
      </c>
      <c r="G11" s="4" t="s">
        <v>105</v>
      </c>
      <c r="H11" s="3">
        <v>0.28922739876123399</v>
      </c>
      <c r="I11" s="4" t="s">
        <v>106</v>
      </c>
      <c r="J11" s="4" t="s">
        <v>40</v>
      </c>
      <c r="K11" s="4" t="s">
        <v>19</v>
      </c>
      <c r="L11" s="4">
        <v>0</v>
      </c>
      <c r="M11" s="9">
        <v>8.8238013657149654</v>
      </c>
      <c r="N11" s="5">
        <v>-1.5043538549672001E-3</v>
      </c>
      <c r="O11" s="5">
        <v>-7.376173676037398E-2</v>
      </c>
      <c r="P11" s="5">
        <v>-8.434862336691688E-3</v>
      </c>
      <c r="Q11" s="5">
        <v>7.376173676037398E-2</v>
      </c>
      <c r="R11" s="5">
        <v>1.5043538549672001E-3</v>
      </c>
      <c r="S11" s="5">
        <v>8.434862336691688E-3</v>
      </c>
    </row>
    <row r="12" spans="2:19" x14ac:dyDescent="0.2">
      <c r="B12" s="4">
        <v>2025</v>
      </c>
      <c r="C12" s="4">
        <v>9</v>
      </c>
      <c r="D12" s="4" t="s">
        <v>85</v>
      </c>
      <c r="E12" s="4" t="s">
        <v>14</v>
      </c>
      <c r="F12" s="3">
        <v>0.49332373862571433</v>
      </c>
      <c r="G12" s="4" t="s">
        <v>30</v>
      </c>
      <c r="H12" s="3">
        <v>0.50667626137428567</v>
      </c>
      <c r="I12" s="4" t="s">
        <v>107</v>
      </c>
      <c r="J12" s="4" t="s">
        <v>14</v>
      </c>
      <c r="K12" s="4" t="s">
        <v>14</v>
      </c>
      <c r="L12" s="4">
        <v>1</v>
      </c>
      <c r="M12" s="9">
        <v>-1.8833131638053471</v>
      </c>
      <c r="N12" s="5">
        <v>-0.1960059592598363</v>
      </c>
      <c r="O12" s="5">
        <v>0.1036794483661652</v>
      </c>
      <c r="P12" s="5">
        <v>0.19043291666928461</v>
      </c>
      <c r="Q12" s="5">
        <v>-0.1036794483661652</v>
      </c>
      <c r="R12" s="5">
        <v>0.1960059592598363</v>
      </c>
      <c r="S12" s="5">
        <v>-0.19043291666928461</v>
      </c>
    </row>
    <row r="13" spans="2:19" x14ac:dyDescent="0.2">
      <c r="B13" s="4">
        <v>2025</v>
      </c>
      <c r="C13" s="4">
        <v>9</v>
      </c>
      <c r="D13" s="4" t="s">
        <v>32</v>
      </c>
      <c r="E13" s="4" t="s">
        <v>49</v>
      </c>
      <c r="F13" s="3">
        <v>0.61882510976001703</v>
      </c>
      <c r="G13" s="4" t="s">
        <v>108</v>
      </c>
      <c r="H13" s="3">
        <v>0.38117489023998302</v>
      </c>
      <c r="I13" s="4" t="s">
        <v>109</v>
      </c>
      <c r="J13" s="4" t="s">
        <v>32</v>
      </c>
      <c r="K13" s="4" t="s">
        <v>32</v>
      </c>
      <c r="L13" s="4">
        <v>1</v>
      </c>
      <c r="M13" s="9">
        <v>4.6932068431331491</v>
      </c>
      <c r="N13" s="5">
        <v>1.2460860184260779E-2</v>
      </c>
      <c r="O13" s="5">
        <v>-3.4125897843958967E-2</v>
      </c>
      <c r="P13" s="5">
        <v>6.7735273104447588E-2</v>
      </c>
      <c r="Q13" s="5">
        <v>3.4125897843958967E-2</v>
      </c>
      <c r="R13" s="5">
        <v>-1.2460860184260779E-2</v>
      </c>
      <c r="S13" s="5">
        <v>-6.7735273104447588E-2</v>
      </c>
    </row>
    <row r="14" spans="2:19" x14ac:dyDescent="0.2">
      <c r="B14" s="4">
        <v>2025</v>
      </c>
      <c r="C14" s="4">
        <v>9</v>
      </c>
      <c r="D14" s="4" t="s">
        <v>10</v>
      </c>
      <c r="E14" s="4" t="s">
        <v>44</v>
      </c>
      <c r="F14" s="3">
        <v>0.48417670618079922</v>
      </c>
      <c r="G14" s="4" t="s">
        <v>110</v>
      </c>
      <c r="H14" s="3">
        <v>0.51582329381920089</v>
      </c>
      <c r="I14" s="4" t="s">
        <v>111</v>
      </c>
      <c r="J14" s="4" t="s">
        <v>44</v>
      </c>
      <c r="K14" s="4" t="s">
        <v>44</v>
      </c>
      <c r="L14" s="4">
        <v>1</v>
      </c>
      <c r="M14" s="9">
        <v>-2.1777639232161161</v>
      </c>
      <c r="N14" s="5">
        <v>0.15103745460510251</v>
      </c>
      <c r="O14" s="5">
        <v>-0.24087369101388109</v>
      </c>
      <c r="P14" s="5">
        <v>-0.23305712938308709</v>
      </c>
      <c r="Q14" s="5">
        <v>0.24087369101388109</v>
      </c>
      <c r="R14" s="5">
        <v>-0.15103745460510251</v>
      </c>
      <c r="S14" s="5">
        <v>0.23305712938308709</v>
      </c>
    </row>
    <row r="15" spans="2:19" x14ac:dyDescent="0.2">
      <c r="B15" s="4">
        <v>2025</v>
      </c>
      <c r="C15" s="4">
        <v>9</v>
      </c>
      <c r="D15" s="4" t="s">
        <v>34</v>
      </c>
      <c r="E15" s="4" t="s">
        <v>22</v>
      </c>
      <c r="F15" s="3">
        <v>0.36042278414131651</v>
      </c>
      <c r="G15" s="4" t="s">
        <v>112</v>
      </c>
      <c r="H15" s="3">
        <v>0.63957721585868343</v>
      </c>
      <c r="I15" s="4" t="s">
        <v>113</v>
      </c>
      <c r="J15" s="4" t="s">
        <v>22</v>
      </c>
      <c r="K15" s="4" t="s">
        <v>34</v>
      </c>
      <c r="L15" s="4">
        <v>0</v>
      </c>
      <c r="M15" s="9">
        <v>-3.7411637346719711</v>
      </c>
      <c r="N15" s="5">
        <v>-0.1035743482185133</v>
      </c>
      <c r="O15" s="5">
        <v>9.4617843627929688E-2</v>
      </c>
      <c r="P15" s="5">
        <v>0.25383403566148538</v>
      </c>
      <c r="Q15" s="5">
        <v>-9.4617843627929688E-2</v>
      </c>
      <c r="R15" s="5">
        <v>0.1035743482185133</v>
      </c>
      <c r="S15" s="5">
        <v>-0.25383403566148538</v>
      </c>
    </row>
    <row r="16" spans="2:19" x14ac:dyDescent="0.2">
      <c r="B16" s="4">
        <v>2025</v>
      </c>
      <c r="C16" s="4">
        <v>9</v>
      </c>
      <c r="D16" s="4" t="s">
        <v>38</v>
      </c>
      <c r="E16" s="4" t="s">
        <v>29</v>
      </c>
      <c r="F16" s="3">
        <v>0.24911203876744639</v>
      </c>
      <c r="G16" s="4" t="s">
        <v>114</v>
      </c>
      <c r="H16" s="3">
        <v>0.75088796123255352</v>
      </c>
      <c r="I16" s="4" t="s">
        <v>115</v>
      </c>
      <c r="J16" s="4" t="s">
        <v>29</v>
      </c>
      <c r="K16" s="4" t="s">
        <v>29</v>
      </c>
      <c r="L16" s="4">
        <v>1</v>
      </c>
      <c r="M16" s="9">
        <v>-10.468339235065191</v>
      </c>
      <c r="N16" s="5">
        <v>-0.2447796257174745</v>
      </c>
      <c r="O16" s="5">
        <v>-4.180908203125E-2</v>
      </c>
      <c r="P16" s="5">
        <v>0.18575405252390889</v>
      </c>
      <c r="Q16" s="5">
        <v>4.180908203125E-2</v>
      </c>
      <c r="R16" s="5">
        <v>0.2447796257174745</v>
      </c>
      <c r="S16" s="5">
        <v>-0.18575405252390889</v>
      </c>
    </row>
    <row r="17" spans="2:19" x14ac:dyDescent="0.2">
      <c r="B17" s="4">
        <v>2025</v>
      </c>
      <c r="C17" s="4">
        <v>9</v>
      </c>
      <c r="D17" s="4" t="s">
        <v>17</v>
      </c>
      <c r="E17" s="4" t="s">
        <v>31</v>
      </c>
      <c r="F17" s="3">
        <v>0.75454089311519046</v>
      </c>
      <c r="G17" s="4" t="s">
        <v>116</v>
      </c>
      <c r="H17" s="3">
        <v>0.24545910688480951</v>
      </c>
      <c r="I17" s="4" t="s">
        <v>117</v>
      </c>
      <c r="J17" s="4" t="s">
        <v>17</v>
      </c>
      <c r="K17" s="4" t="s">
        <v>17</v>
      </c>
      <c r="L17" s="4">
        <v>1</v>
      </c>
      <c r="M17" s="9">
        <v>9.4243349182143561</v>
      </c>
      <c r="N17" s="5">
        <v>0.25134553348316868</v>
      </c>
      <c r="O17" s="5">
        <v>0.31206387565249488</v>
      </c>
      <c r="P17" s="5">
        <v>-0.28692413413006329</v>
      </c>
      <c r="Q17" s="5">
        <v>-0.31206387565249488</v>
      </c>
      <c r="R17" s="5">
        <v>-0.25134553348316868</v>
      </c>
      <c r="S17" s="5">
        <v>0.28692413413006329</v>
      </c>
    </row>
    <row r="18" spans="2:19" x14ac:dyDescent="0.2">
      <c r="B18" s="4">
        <v>2025</v>
      </c>
      <c r="C18" s="4">
        <v>9</v>
      </c>
      <c r="D18" s="4" t="s">
        <v>37</v>
      </c>
      <c r="E18" s="4" t="s">
        <v>25</v>
      </c>
      <c r="F18" s="3">
        <v>0.3958420236876185</v>
      </c>
      <c r="G18" s="4" t="s">
        <v>118</v>
      </c>
      <c r="H18" s="3">
        <v>0.60415797631238144</v>
      </c>
      <c r="I18" s="4" t="s">
        <v>119</v>
      </c>
      <c r="J18" s="4" t="s">
        <v>25</v>
      </c>
      <c r="K18" s="4" t="s">
        <v>25</v>
      </c>
      <c r="L18" s="4">
        <v>1</v>
      </c>
      <c r="M18" s="9">
        <v>0.78178819988491799</v>
      </c>
      <c r="N18" s="5">
        <v>0.14785484769451079</v>
      </c>
      <c r="O18" s="5">
        <v>-0.1031479203557394</v>
      </c>
      <c r="P18" s="5">
        <v>-0.13232756578005281</v>
      </c>
      <c r="Q18" s="5">
        <v>0.1031479203557394</v>
      </c>
      <c r="R18" s="5">
        <v>-0.14785484769451079</v>
      </c>
      <c r="S18" s="5">
        <v>0.13232756578005281</v>
      </c>
    </row>
    <row r="19" spans="2:19" x14ac:dyDescent="0.2">
      <c r="B19" s="4">
        <v>2025</v>
      </c>
      <c r="C19" s="4">
        <v>9</v>
      </c>
      <c r="D19" s="4" t="s">
        <v>50</v>
      </c>
      <c r="E19" s="4" t="s">
        <v>46</v>
      </c>
      <c r="F19" s="3">
        <v>0.49275135306535522</v>
      </c>
      <c r="G19" s="4" t="s">
        <v>30</v>
      </c>
      <c r="H19" s="3">
        <v>0.50724864693464489</v>
      </c>
      <c r="I19" s="4" t="s">
        <v>107</v>
      </c>
      <c r="J19" s="4" t="s">
        <v>46</v>
      </c>
      <c r="K19" s="4" t="s">
        <v>50</v>
      </c>
      <c r="L19" s="4">
        <v>0</v>
      </c>
      <c r="M19" s="9">
        <v>5.8964152963200789E-2</v>
      </c>
      <c r="N19" s="5">
        <v>0.21633625030517581</v>
      </c>
      <c r="O19" s="5">
        <v>2.2891673349565069E-3</v>
      </c>
      <c r="P19" s="5">
        <v>-0.29582126617431642</v>
      </c>
      <c r="Q19" s="5">
        <v>-2.2891673349565069E-3</v>
      </c>
      <c r="R19" s="5">
        <v>-0.21633625030517581</v>
      </c>
      <c r="S19" s="5">
        <v>0.29582126617431642</v>
      </c>
    </row>
    <row r="20" spans="2:19" x14ac:dyDescent="0.2">
      <c r="B20" s="4">
        <v>2025</v>
      </c>
      <c r="C20" s="4">
        <v>9</v>
      </c>
      <c r="D20" s="4" t="s">
        <v>52</v>
      </c>
      <c r="E20" s="4" t="s">
        <v>26</v>
      </c>
      <c r="F20" s="3">
        <v>0.51989649868481691</v>
      </c>
      <c r="G20" s="4" t="s">
        <v>120</v>
      </c>
      <c r="H20" s="3">
        <v>0.48010350131518309</v>
      </c>
      <c r="I20" s="4" t="s">
        <v>121</v>
      </c>
      <c r="J20" s="4" t="s">
        <v>52</v>
      </c>
      <c r="K20" s="4" t="s">
        <v>26</v>
      </c>
      <c r="L20" s="4">
        <v>0</v>
      </c>
      <c r="M20" s="9">
        <v>-1.6578183337499611E-2</v>
      </c>
      <c r="N20" s="5">
        <v>-7.1753733498709546E-2</v>
      </c>
      <c r="O20" s="5">
        <v>-0.41504895912026463</v>
      </c>
      <c r="P20" s="5">
        <v>-0.1105420688788096</v>
      </c>
      <c r="Q20" s="5">
        <v>0.41504895912026463</v>
      </c>
      <c r="R20" s="5">
        <v>7.1753733498709546E-2</v>
      </c>
      <c r="S20" s="5">
        <v>0.1105420688788096</v>
      </c>
    </row>
    <row r="21" spans="2:19" x14ac:dyDescent="0.2">
      <c r="B21" s="4">
        <v>2025</v>
      </c>
      <c r="C21" s="4">
        <v>9</v>
      </c>
      <c r="D21" s="4" t="s">
        <v>20</v>
      </c>
      <c r="E21" s="4" t="s">
        <v>23</v>
      </c>
      <c r="F21" s="3">
        <v>0.5529272060086009</v>
      </c>
      <c r="G21" s="4" t="s">
        <v>100</v>
      </c>
      <c r="H21" s="3">
        <v>0.4470727939913991</v>
      </c>
      <c r="I21" s="4" t="s">
        <v>99</v>
      </c>
      <c r="J21" s="4" t="s">
        <v>20</v>
      </c>
      <c r="K21" s="4" t="s">
        <v>23</v>
      </c>
      <c r="L21" s="4">
        <v>0</v>
      </c>
      <c r="M21" s="9">
        <v>-1.4444052552290101</v>
      </c>
      <c r="N21" s="5">
        <v>-0.13427269977072009</v>
      </c>
      <c r="O21" s="5">
        <v>-0.110581043788365</v>
      </c>
      <c r="P21" s="5">
        <v>0.124452443226524</v>
      </c>
      <c r="Q21" s="5">
        <v>0.110581043788365</v>
      </c>
      <c r="R21" s="5">
        <v>0.13427269977072009</v>
      </c>
      <c r="S21" s="5">
        <v>-0.124452443226524</v>
      </c>
    </row>
  </sheetData>
  <mergeCells count="4">
    <mergeCell ref="F6:I6"/>
    <mergeCell ref="J6:L6"/>
    <mergeCell ref="N6:P6"/>
    <mergeCell ref="Q6:S6"/>
  </mergeCells>
  <conditionalFormatting sqref="N8:N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8:O2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P2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:Q2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:R2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:S2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D3B42A5-2F55-1346-A05B-64259B97C8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L8:L21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46F6-01FE-6642-AB7B-08715D2CF0D5}">
  <dimension ref="B2:W38"/>
  <sheetViews>
    <sheetView showGridLines="0" zoomScale="107" zoomScaleNormal="120" workbookViewId="0">
      <selection activeCell="G18" sqref="G18"/>
    </sheetView>
  </sheetViews>
  <sheetFormatPr baseColWidth="10" defaultColWidth="8.83203125" defaultRowHeight="15" x14ac:dyDescent="0.2"/>
  <cols>
    <col min="2" max="2" width="6.83203125" bestFit="1" customWidth="1"/>
    <col min="3" max="3" width="6.1640625" bestFit="1" customWidth="1"/>
    <col min="4" max="4" width="10.5" bestFit="1" customWidth="1"/>
    <col min="5" max="5" width="9.83203125" bestFit="1" customWidth="1"/>
    <col min="6" max="6" width="12.1640625" bestFit="1" customWidth="1"/>
    <col min="7" max="7" width="13.33203125" bestFit="1" customWidth="1"/>
    <col min="8" max="8" width="12.1640625" bestFit="1" customWidth="1"/>
    <col min="9" max="9" width="12.6640625" bestFit="1" customWidth="1"/>
    <col min="10" max="10" width="11" bestFit="1" customWidth="1"/>
    <col min="11" max="11" width="9.1640625" customWidth="1"/>
    <col min="12" max="13" width="10" customWidth="1"/>
    <col min="14" max="15" width="10.1640625" bestFit="1" customWidth="1"/>
    <col min="16" max="16" width="10.6640625" bestFit="1" customWidth="1"/>
    <col min="17" max="18" width="10.1640625" bestFit="1" customWidth="1"/>
    <col min="19" max="19" width="10.6640625" bestFit="1" customWidth="1"/>
  </cols>
  <sheetData>
    <row r="2" spans="2:19" x14ac:dyDescent="0.2">
      <c r="B2" s="7" t="s">
        <v>64</v>
      </c>
      <c r="C2" s="4">
        <f>SUM($L$8:$L$20)</f>
        <v>10</v>
      </c>
    </row>
    <row r="3" spans="2:19" x14ac:dyDescent="0.2">
      <c r="B3" s="7" t="s">
        <v>63</v>
      </c>
      <c r="C3" s="4">
        <f>COUNTA($L$8:$L$21)</f>
        <v>14</v>
      </c>
    </row>
    <row r="4" spans="2:19" x14ac:dyDescent="0.2">
      <c r="B4" s="7" t="s">
        <v>65</v>
      </c>
      <c r="C4" s="8">
        <f>C2/C3</f>
        <v>0.7142857142857143</v>
      </c>
    </row>
    <row r="5" spans="2:19" x14ac:dyDescent="0.2">
      <c r="C5" s="6"/>
    </row>
    <row r="6" spans="2:19" x14ac:dyDescent="0.2">
      <c r="F6" s="21" t="s">
        <v>62</v>
      </c>
      <c r="G6" s="22"/>
      <c r="H6" s="22"/>
      <c r="I6" s="23"/>
      <c r="J6" s="20" t="s">
        <v>60</v>
      </c>
      <c r="K6" s="20"/>
      <c r="L6" s="20"/>
      <c r="M6" s="7"/>
      <c r="N6" s="20" t="s">
        <v>55</v>
      </c>
      <c r="O6" s="20"/>
      <c r="P6" s="20"/>
      <c r="Q6" s="20" t="s">
        <v>56</v>
      </c>
      <c r="R6" s="20"/>
      <c r="S6" s="20"/>
    </row>
    <row r="7" spans="2:19" x14ac:dyDescent="0.2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7</v>
      </c>
      <c r="H7" s="1" t="s">
        <v>5</v>
      </c>
      <c r="I7" s="1" t="s">
        <v>8</v>
      </c>
      <c r="J7" s="1" t="s">
        <v>6</v>
      </c>
      <c r="K7" s="1" t="s">
        <v>9</v>
      </c>
      <c r="L7" s="1" t="s">
        <v>61</v>
      </c>
      <c r="M7" s="1" t="s">
        <v>87</v>
      </c>
      <c r="N7" s="1" t="s">
        <v>57</v>
      </c>
      <c r="O7" s="1" t="s">
        <v>58</v>
      </c>
      <c r="P7" s="1" t="s">
        <v>59</v>
      </c>
      <c r="Q7" s="1" t="s">
        <v>57</v>
      </c>
      <c r="R7" s="1" t="s">
        <v>58</v>
      </c>
      <c r="S7" s="1" t="s">
        <v>59</v>
      </c>
    </row>
    <row r="8" spans="2:19" x14ac:dyDescent="0.2">
      <c r="B8" s="4">
        <v>2025</v>
      </c>
      <c r="C8" s="4">
        <v>10</v>
      </c>
      <c r="D8" s="4" t="s">
        <v>14</v>
      </c>
      <c r="E8" s="4" t="s">
        <v>37</v>
      </c>
      <c r="F8" s="8">
        <v>0.76598917121730903</v>
      </c>
      <c r="G8" s="4">
        <v>-327</v>
      </c>
      <c r="H8" s="8">
        <v>0.23401082878269</v>
      </c>
      <c r="I8" s="4">
        <v>327</v>
      </c>
      <c r="J8" s="4" t="s">
        <v>14</v>
      </c>
      <c r="K8" s="4" t="s">
        <v>14</v>
      </c>
      <c r="L8" s="4">
        <v>1</v>
      </c>
      <c r="M8" s="9">
        <v>8.1813164043984692</v>
      </c>
      <c r="N8" s="5">
        <v>-0.30538678573349698</v>
      </c>
      <c r="O8" s="5">
        <v>0.392629400889078</v>
      </c>
      <c r="P8" s="5">
        <v>6.5123500823974598E-2</v>
      </c>
      <c r="Q8" s="5">
        <v>-0.392629400889078</v>
      </c>
      <c r="R8" s="5">
        <v>0.30538678573349698</v>
      </c>
      <c r="S8" s="5">
        <v>-6.5123500823974598E-2</v>
      </c>
    </row>
    <row r="9" spans="2:19" x14ac:dyDescent="0.2">
      <c r="B9" s="4">
        <v>2025</v>
      </c>
      <c r="C9" s="4">
        <v>10</v>
      </c>
      <c r="D9" s="4" t="s">
        <v>22</v>
      </c>
      <c r="E9" s="4" t="s">
        <v>49</v>
      </c>
      <c r="F9" s="8">
        <v>0.71280530613369497</v>
      </c>
      <c r="G9" s="4">
        <v>-248</v>
      </c>
      <c r="H9" s="8">
        <v>0.28719469386630397</v>
      </c>
      <c r="I9" s="4">
        <v>248</v>
      </c>
      <c r="J9" s="4" t="s">
        <v>22</v>
      </c>
      <c r="K9" s="4" t="s">
        <v>22</v>
      </c>
      <c r="L9" s="4">
        <v>1</v>
      </c>
      <c r="M9" s="9">
        <v>7.3657235665291001</v>
      </c>
      <c r="N9" s="5">
        <v>0.163817656667608</v>
      </c>
      <c r="O9" s="5">
        <v>2.3067955110893799E-2</v>
      </c>
      <c r="P9" s="5">
        <v>-0.120909542872987</v>
      </c>
      <c r="Q9" s="5">
        <v>-2.3067955110893799E-2</v>
      </c>
      <c r="R9" s="5">
        <v>-0.163817656667608</v>
      </c>
      <c r="S9" s="5">
        <v>0.120909542872987</v>
      </c>
    </row>
    <row r="10" spans="2:19" x14ac:dyDescent="0.2">
      <c r="B10" s="4">
        <v>2025</v>
      </c>
      <c r="C10" s="4">
        <v>10</v>
      </c>
      <c r="D10" s="4" t="s">
        <v>19</v>
      </c>
      <c r="E10" s="4" t="s">
        <v>31</v>
      </c>
      <c r="F10" s="8">
        <v>0.70590823170121897</v>
      </c>
      <c r="G10" s="4">
        <v>-240</v>
      </c>
      <c r="H10" s="8">
        <v>0.29409176829877998</v>
      </c>
      <c r="I10" s="4">
        <v>240</v>
      </c>
      <c r="J10" s="4" t="s">
        <v>19</v>
      </c>
      <c r="K10" s="4" t="s">
        <v>31</v>
      </c>
      <c r="L10" s="4">
        <v>0</v>
      </c>
      <c r="M10" s="9">
        <v>3.95832352689734</v>
      </c>
      <c r="N10" s="5">
        <v>-0.30006108194027298</v>
      </c>
      <c r="O10" s="5">
        <v>-0.14284026806171099</v>
      </c>
      <c r="P10" s="5">
        <v>0.33378385752439499</v>
      </c>
      <c r="Q10" s="5">
        <v>0.14284026806171099</v>
      </c>
      <c r="R10" s="5">
        <v>0.30006108194027298</v>
      </c>
      <c r="S10" s="5">
        <v>-0.33378385752439499</v>
      </c>
    </row>
    <row r="11" spans="2:19" x14ac:dyDescent="0.2">
      <c r="B11" s="4">
        <v>2025</v>
      </c>
      <c r="C11" s="4">
        <v>10</v>
      </c>
      <c r="D11" s="4" t="s">
        <v>53</v>
      </c>
      <c r="E11" s="4" t="s">
        <v>10</v>
      </c>
      <c r="F11" s="8">
        <v>0.59132934265404202</v>
      </c>
      <c r="G11" s="4">
        <v>-144</v>
      </c>
      <c r="H11" s="8">
        <v>0.40867065734595698</v>
      </c>
      <c r="I11" s="4">
        <v>144</v>
      </c>
      <c r="J11" s="4" t="s">
        <v>53</v>
      </c>
      <c r="K11" s="4" t="s">
        <v>53</v>
      </c>
      <c r="L11" s="4">
        <v>1</v>
      </c>
      <c r="M11" s="9">
        <v>7.4688556572492502</v>
      </c>
      <c r="N11" s="5">
        <v>7.6580394398082299E-2</v>
      </c>
      <c r="O11" s="5">
        <v>5.45723960824208E-3</v>
      </c>
      <c r="P11" s="5">
        <v>-1.54433101415634E-2</v>
      </c>
      <c r="Q11" s="5">
        <v>-5.45723960824208E-3</v>
      </c>
      <c r="R11" s="5">
        <v>-7.6580394398082299E-2</v>
      </c>
      <c r="S11" s="5">
        <v>1.54433101415634E-2</v>
      </c>
    </row>
    <row r="12" spans="2:19" x14ac:dyDescent="0.2">
      <c r="B12" s="4">
        <v>2025</v>
      </c>
      <c r="C12" s="4">
        <v>10</v>
      </c>
      <c r="D12" s="4" t="s">
        <v>85</v>
      </c>
      <c r="E12" s="4" t="s">
        <v>25</v>
      </c>
      <c r="F12" s="8">
        <v>0.62953558635408002</v>
      </c>
      <c r="G12" s="4">
        <v>-169</v>
      </c>
      <c r="H12" s="8">
        <v>0.37046441364591898</v>
      </c>
      <c r="I12" s="4">
        <v>169</v>
      </c>
      <c r="J12" s="4" t="s">
        <v>85</v>
      </c>
      <c r="K12" s="4" t="s">
        <v>85</v>
      </c>
      <c r="L12" s="4">
        <v>1</v>
      </c>
      <c r="M12" s="9">
        <v>5.7488555268741202</v>
      </c>
      <c r="N12" s="5">
        <v>0.119246615303887</v>
      </c>
      <c r="O12" s="5">
        <v>0.17853055234815199</v>
      </c>
      <c r="P12" s="5">
        <v>-0.35401583128962</v>
      </c>
      <c r="Q12" s="5">
        <v>-0.17853055234815199</v>
      </c>
      <c r="R12" s="5">
        <v>-0.119246615303887</v>
      </c>
      <c r="S12" s="5">
        <v>0.35401583128962</v>
      </c>
    </row>
    <row r="13" spans="2:19" x14ac:dyDescent="0.2">
      <c r="B13" s="4">
        <v>2025</v>
      </c>
      <c r="C13" s="4">
        <v>10</v>
      </c>
      <c r="D13" s="4" t="s">
        <v>28</v>
      </c>
      <c r="E13" s="4" t="s">
        <v>50</v>
      </c>
      <c r="F13" s="8">
        <v>0.26774882612290102</v>
      </c>
      <c r="G13" s="4">
        <v>273</v>
      </c>
      <c r="H13" s="8">
        <v>0.73225117387709804</v>
      </c>
      <c r="I13" s="4">
        <v>-273</v>
      </c>
      <c r="J13" s="4" t="s">
        <v>50</v>
      </c>
      <c r="K13" s="4" t="s">
        <v>28</v>
      </c>
      <c r="L13" s="4">
        <v>0</v>
      </c>
      <c r="M13" s="9">
        <v>-9.2184473624460601</v>
      </c>
      <c r="N13" s="5">
        <v>0.31231633354635802</v>
      </c>
      <c r="O13" s="5">
        <v>6.9657404031326503E-2</v>
      </c>
      <c r="P13" s="5">
        <v>0.107619822025299</v>
      </c>
      <c r="Q13" s="5">
        <v>-6.9657404031326503E-2</v>
      </c>
      <c r="R13" s="5">
        <v>-0.31231633354635802</v>
      </c>
      <c r="S13" s="5">
        <v>-0.107619822025299</v>
      </c>
    </row>
    <row r="14" spans="2:19" x14ac:dyDescent="0.2">
      <c r="B14" s="4">
        <v>2025</v>
      </c>
      <c r="C14" s="4">
        <v>10</v>
      </c>
      <c r="D14" s="4" t="s">
        <v>77</v>
      </c>
      <c r="E14" s="4" t="s">
        <v>16</v>
      </c>
      <c r="F14" s="8">
        <v>0.44864183156943999</v>
      </c>
      <c r="G14" s="4">
        <v>122</v>
      </c>
      <c r="H14" s="8">
        <v>0.55135816843055996</v>
      </c>
      <c r="I14" s="4">
        <v>-122</v>
      </c>
      <c r="J14" s="4" t="s">
        <v>16</v>
      </c>
      <c r="K14" s="4" t="s">
        <v>16</v>
      </c>
      <c r="L14" s="4">
        <v>1</v>
      </c>
      <c r="M14" s="9">
        <v>0.75145618814276405</v>
      </c>
      <c r="N14" s="5">
        <v>-7.0839390158653204E-2</v>
      </c>
      <c r="O14" s="5">
        <v>-1.02642423966351E-2</v>
      </c>
      <c r="P14" s="5">
        <v>-0.13717836141586301</v>
      </c>
      <c r="Q14" s="5">
        <v>1.02642423966351E-2</v>
      </c>
      <c r="R14" s="5">
        <v>7.0839390158653204E-2</v>
      </c>
      <c r="S14" s="5">
        <v>0.13717836141586301</v>
      </c>
    </row>
    <row r="15" spans="2:19" x14ac:dyDescent="0.2">
      <c r="B15" s="4">
        <v>2025</v>
      </c>
      <c r="C15" s="4">
        <v>10</v>
      </c>
      <c r="D15" s="4" t="s">
        <v>13</v>
      </c>
      <c r="E15" s="4" t="s">
        <v>35</v>
      </c>
      <c r="F15" s="8">
        <v>0.63435391712634004</v>
      </c>
      <c r="G15" s="4">
        <v>-173</v>
      </c>
      <c r="H15" s="8">
        <v>0.36564608287365902</v>
      </c>
      <c r="I15" s="4">
        <v>173</v>
      </c>
      <c r="J15" s="4" t="s">
        <v>13</v>
      </c>
      <c r="K15" s="4" t="s">
        <v>13</v>
      </c>
      <c r="L15" s="4">
        <v>1</v>
      </c>
      <c r="M15" s="9">
        <v>4.89578017066414</v>
      </c>
      <c r="N15" s="5">
        <v>-0.24411570772211599</v>
      </c>
      <c r="O15" s="5">
        <v>4.3361252301359801E-2</v>
      </c>
      <c r="P15" s="5">
        <v>0.467541448531612</v>
      </c>
      <c r="Q15" s="5">
        <v>-4.3361252301359801E-2</v>
      </c>
      <c r="R15" s="5">
        <v>0.24411570772211599</v>
      </c>
      <c r="S15" s="5">
        <v>-0.467541448531612</v>
      </c>
    </row>
    <row r="16" spans="2:19" x14ac:dyDescent="0.2">
      <c r="B16" s="4">
        <v>2025</v>
      </c>
      <c r="C16" s="4">
        <v>10</v>
      </c>
      <c r="D16" s="4" t="s">
        <v>43</v>
      </c>
      <c r="E16" s="4" t="s">
        <v>32</v>
      </c>
      <c r="F16" s="8">
        <v>0.54090551862789005</v>
      </c>
      <c r="G16" s="4">
        <v>-117</v>
      </c>
      <c r="H16" s="8">
        <v>0.45909448137210901</v>
      </c>
      <c r="I16" s="4">
        <v>117</v>
      </c>
      <c r="J16" s="4" t="s">
        <v>43</v>
      </c>
      <c r="K16" s="4" t="s">
        <v>32</v>
      </c>
      <c r="L16" s="4">
        <v>0</v>
      </c>
      <c r="M16" s="9">
        <v>5.7404372134462696</v>
      </c>
      <c r="N16" s="5">
        <v>6.7429121802834904E-2</v>
      </c>
      <c r="O16" s="5">
        <v>-0.19361867904662999</v>
      </c>
      <c r="P16" s="5">
        <v>-3.2632189137594997E-2</v>
      </c>
      <c r="Q16" s="5">
        <v>0.19361867904662999</v>
      </c>
      <c r="R16" s="5">
        <v>-6.7429121802834904E-2</v>
      </c>
      <c r="S16" s="5">
        <v>3.2632189137594997E-2</v>
      </c>
    </row>
    <row r="17" spans="2:23" x14ac:dyDescent="0.2">
      <c r="B17" s="4">
        <v>2025</v>
      </c>
      <c r="C17" s="4">
        <v>10</v>
      </c>
      <c r="D17" s="4" t="s">
        <v>26</v>
      </c>
      <c r="E17" s="4" t="s">
        <v>23</v>
      </c>
      <c r="F17" s="8">
        <v>0.60361180365995204</v>
      </c>
      <c r="G17" s="4">
        <v>-152</v>
      </c>
      <c r="H17" s="8">
        <v>0.39638819634004702</v>
      </c>
      <c r="I17" s="4">
        <v>152</v>
      </c>
      <c r="J17" s="4" t="s">
        <v>26</v>
      </c>
      <c r="K17" s="4" t="s">
        <v>26</v>
      </c>
      <c r="L17" s="4">
        <v>1</v>
      </c>
      <c r="M17" s="9">
        <v>2.2381512359757401</v>
      </c>
      <c r="N17" s="5">
        <v>8.7747590583667406E-2</v>
      </c>
      <c r="O17" s="5">
        <v>0.22612943013509099</v>
      </c>
      <c r="P17" s="5">
        <v>0.19157504609652901</v>
      </c>
      <c r="Q17" s="5">
        <v>-0.22612943013509099</v>
      </c>
      <c r="R17" s="5">
        <v>-8.7747590583667406E-2</v>
      </c>
      <c r="S17" s="5">
        <v>-0.19157504609652901</v>
      </c>
    </row>
    <row r="18" spans="2:23" x14ac:dyDescent="0.2">
      <c r="B18" s="4">
        <v>2025</v>
      </c>
      <c r="C18" s="4">
        <v>10</v>
      </c>
      <c r="D18" s="4" t="s">
        <v>44</v>
      </c>
      <c r="E18" s="4" t="s">
        <v>17</v>
      </c>
      <c r="F18" s="8">
        <v>0.37630172519376898</v>
      </c>
      <c r="G18" s="4">
        <v>165</v>
      </c>
      <c r="H18" s="8">
        <v>0.62369827480623097</v>
      </c>
      <c r="I18" s="4">
        <v>-165</v>
      </c>
      <c r="J18" s="4" t="s">
        <v>17</v>
      </c>
      <c r="K18" s="4" t="s">
        <v>17</v>
      </c>
      <c r="L18" s="4">
        <v>1</v>
      </c>
      <c r="M18" s="9">
        <v>-6.0450951589045196</v>
      </c>
      <c r="N18" s="5">
        <v>0.129427033085976</v>
      </c>
      <c r="O18" s="5">
        <v>-0.41414830134465103</v>
      </c>
      <c r="P18" s="5">
        <v>-2.97218469473031E-2</v>
      </c>
      <c r="Q18" s="5">
        <v>0.41414830134465103</v>
      </c>
      <c r="R18" s="5">
        <v>-0.129427033085976</v>
      </c>
      <c r="S18" s="5">
        <v>2.97218469473031E-2</v>
      </c>
    </row>
    <row r="19" spans="2:23" x14ac:dyDescent="0.2">
      <c r="B19" s="4">
        <v>2025</v>
      </c>
      <c r="C19" s="4">
        <v>10</v>
      </c>
      <c r="D19" s="4" t="s">
        <v>52</v>
      </c>
      <c r="E19" s="4" t="s">
        <v>47</v>
      </c>
      <c r="F19" s="8">
        <v>0.32988906538198298</v>
      </c>
      <c r="G19" s="4">
        <v>203</v>
      </c>
      <c r="H19" s="8">
        <v>0.67011093461801596</v>
      </c>
      <c r="I19" s="4">
        <v>-203</v>
      </c>
      <c r="J19" s="4" t="s">
        <v>47</v>
      </c>
      <c r="K19" s="4" t="s">
        <v>47</v>
      </c>
      <c r="L19" s="4">
        <v>1</v>
      </c>
      <c r="M19" s="9">
        <v>-8.9053152506225004</v>
      </c>
      <c r="N19" s="5">
        <v>0.213706353131462</v>
      </c>
      <c r="O19" s="5">
        <v>-0.49142588739809701</v>
      </c>
      <c r="P19" s="5">
        <v>-5.0597828010032903E-2</v>
      </c>
      <c r="Q19" s="5">
        <v>0.49142588739809701</v>
      </c>
      <c r="R19" s="5">
        <v>-0.213706353131462</v>
      </c>
      <c r="S19" s="5">
        <v>5.0597828010032903E-2</v>
      </c>
    </row>
    <row r="20" spans="2:23" x14ac:dyDescent="0.2">
      <c r="B20" s="4">
        <v>2025</v>
      </c>
      <c r="C20" s="4">
        <v>10</v>
      </c>
      <c r="D20" s="4" t="s">
        <v>29</v>
      </c>
      <c r="E20" s="4" t="s">
        <v>34</v>
      </c>
      <c r="F20" s="8">
        <v>0.64365103697371895</v>
      </c>
      <c r="G20" s="4">
        <v>-180</v>
      </c>
      <c r="H20" s="8">
        <v>0.35634896302628</v>
      </c>
      <c r="I20" s="4">
        <v>180</v>
      </c>
      <c r="J20" s="4" t="s">
        <v>29</v>
      </c>
      <c r="K20" s="4" t="s">
        <v>29</v>
      </c>
      <c r="L20" s="4">
        <v>1</v>
      </c>
      <c r="M20" s="9">
        <v>4.55377558245738</v>
      </c>
      <c r="N20" s="5">
        <v>-0.11164817545149</v>
      </c>
      <c r="O20" s="5">
        <v>0.37294952686016303</v>
      </c>
      <c r="P20" s="5">
        <v>0.22981030686662099</v>
      </c>
      <c r="Q20" s="5">
        <v>-0.37294952686016303</v>
      </c>
      <c r="R20" s="5">
        <v>0.11164817545149</v>
      </c>
      <c r="S20" s="5">
        <v>-0.22981030686662099</v>
      </c>
    </row>
    <row r="21" spans="2:23" x14ac:dyDescent="0.2">
      <c r="B21" s="4">
        <v>2025</v>
      </c>
      <c r="C21" s="4">
        <v>10</v>
      </c>
      <c r="D21" s="4" t="s">
        <v>40</v>
      </c>
      <c r="E21" s="4" t="s">
        <v>11</v>
      </c>
      <c r="F21" s="8">
        <v>0.54854360552546999</v>
      </c>
      <c r="G21" s="4">
        <v>-121</v>
      </c>
      <c r="H21" s="8">
        <v>0.45145639447452901</v>
      </c>
      <c r="I21" s="4">
        <v>121</v>
      </c>
      <c r="J21" s="4" t="s">
        <v>40</v>
      </c>
      <c r="K21" s="4" t="s">
        <v>11</v>
      </c>
      <c r="L21" s="4">
        <v>0</v>
      </c>
      <c r="M21" s="9">
        <v>1.97391585193694</v>
      </c>
      <c r="N21" s="5">
        <v>-0.15282585371786001</v>
      </c>
      <c r="O21" s="5">
        <v>6.9291402423192497E-2</v>
      </c>
      <c r="P21" s="5">
        <v>-3.6483339573207603E-2</v>
      </c>
      <c r="Q21" s="5">
        <v>-6.9291402423192497E-2</v>
      </c>
      <c r="R21" s="5">
        <v>0.15282585371786001</v>
      </c>
      <c r="S21" s="5">
        <v>3.6483339573207603E-2</v>
      </c>
    </row>
    <row r="24" spans="2:23" x14ac:dyDescent="0.2"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122</v>
      </c>
      <c r="H24" t="s">
        <v>5</v>
      </c>
      <c r="I24" t="s">
        <v>123</v>
      </c>
      <c r="J24" t="s">
        <v>124</v>
      </c>
      <c r="K24" t="s">
        <v>125</v>
      </c>
      <c r="L24" t="s">
        <v>6</v>
      </c>
      <c r="M24" t="s">
        <v>9</v>
      </c>
      <c r="N24" t="s">
        <v>61</v>
      </c>
      <c r="O24" t="s">
        <v>126</v>
      </c>
      <c r="P24" t="s">
        <v>127</v>
      </c>
      <c r="Q24" t="s">
        <v>128</v>
      </c>
      <c r="R24" t="s">
        <v>66</v>
      </c>
      <c r="S24" t="s">
        <v>67</v>
      </c>
      <c r="T24" t="s">
        <v>68</v>
      </c>
      <c r="U24" t="s">
        <v>69</v>
      </c>
      <c r="V24" t="s">
        <v>70</v>
      </c>
      <c r="W24" t="s">
        <v>71</v>
      </c>
    </row>
    <row r="25" spans="2:23" x14ac:dyDescent="0.2">
      <c r="B25">
        <v>2025</v>
      </c>
      <c r="C25">
        <v>10</v>
      </c>
      <c r="D25" t="s">
        <v>14</v>
      </c>
      <c r="E25" t="s">
        <v>37</v>
      </c>
      <c r="F25" s="11">
        <v>0.76598917121730903</v>
      </c>
      <c r="G25">
        <v>-327</v>
      </c>
      <c r="H25" s="10">
        <v>0.23401082878269</v>
      </c>
      <c r="I25">
        <v>327</v>
      </c>
      <c r="J25">
        <v>-500</v>
      </c>
      <c r="K25">
        <v>380</v>
      </c>
      <c r="L25" t="s">
        <v>14</v>
      </c>
      <c r="M25" t="s">
        <v>14</v>
      </c>
      <c r="N25">
        <v>1</v>
      </c>
      <c r="O25">
        <v>9.5</v>
      </c>
      <c r="P25" s="10">
        <v>8.1813164043984692</v>
      </c>
      <c r="Q25">
        <v>42.5</v>
      </c>
      <c r="R25">
        <v>-0.30538678573349698</v>
      </c>
      <c r="S25" s="10">
        <v>0.392629400889078</v>
      </c>
      <c r="T25">
        <v>6.5123500823974598E-2</v>
      </c>
      <c r="U25">
        <v>-0.392629400889078</v>
      </c>
      <c r="V25" s="10">
        <v>0.30538678573349698</v>
      </c>
      <c r="W25">
        <v>-6.5123500823974598E-2</v>
      </c>
    </row>
    <row r="26" spans="2:23" x14ac:dyDescent="0.2">
      <c r="B26">
        <v>2025</v>
      </c>
      <c r="C26">
        <v>10</v>
      </c>
      <c r="D26" t="s">
        <v>22</v>
      </c>
      <c r="E26" t="s">
        <v>49</v>
      </c>
      <c r="F26" s="11">
        <v>0.71280530613369497</v>
      </c>
      <c r="G26">
        <v>-248</v>
      </c>
      <c r="H26" s="10">
        <v>0.28719469386630397</v>
      </c>
      <c r="I26">
        <v>248</v>
      </c>
      <c r="J26">
        <v>-310</v>
      </c>
      <c r="K26">
        <v>250</v>
      </c>
      <c r="L26" t="s">
        <v>22</v>
      </c>
      <c r="M26" t="s">
        <v>22</v>
      </c>
      <c r="N26">
        <v>1</v>
      </c>
      <c r="O26">
        <v>6.5</v>
      </c>
      <c r="P26" s="10">
        <v>7.3657235665291001</v>
      </c>
      <c r="Q26">
        <v>48.5</v>
      </c>
      <c r="R26" s="10">
        <v>0.163817656667608</v>
      </c>
      <c r="S26" s="10">
        <v>2.3067955110893799E-2</v>
      </c>
      <c r="T26">
        <v>-0.120909542872987</v>
      </c>
      <c r="U26">
        <v>-2.3067955110893799E-2</v>
      </c>
      <c r="V26">
        <v>-0.163817656667608</v>
      </c>
      <c r="W26" s="10">
        <v>0.120909542872987</v>
      </c>
    </row>
    <row r="27" spans="2:23" x14ac:dyDescent="0.2">
      <c r="B27">
        <v>2025</v>
      </c>
      <c r="C27">
        <v>10</v>
      </c>
      <c r="D27" t="s">
        <v>19</v>
      </c>
      <c r="E27" t="s">
        <v>31</v>
      </c>
      <c r="F27" s="11">
        <v>0.70590823170121897</v>
      </c>
      <c r="G27">
        <v>-240</v>
      </c>
      <c r="H27" s="10">
        <v>0.29409176829877998</v>
      </c>
      <c r="I27">
        <v>240</v>
      </c>
      <c r="J27">
        <v>-245</v>
      </c>
      <c r="K27">
        <v>200</v>
      </c>
      <c r="L27" t="s">
        <v>19</v>
      </c>
      <c r="M27" t="s">
        <v>31</v>
      </c>
      <c r="N27">
        <v>0</v>
      </c>
      <c r="O27">
        <v>5.5</v>
      </c>
      <c r="P27" s="10">
        <v>3.95832352689734</v>
      </c>
      <c r="Q27">
        <v>38.5</v>
      </c>
      <c r="R27">
        <v>-0.30006108194027298</v>
      </c>
      <c r="S27">
        <v>-0.14284026806171099</v>
      </c>
      <c r="T27">
        <v>0.33378385752439499</v>
      </c>
      <c r="U27" s="10">
        <v>0.14284026806171099</v>
      </c>
      <c r="V27" s="10">
        <v>0.30006108194027298</v>
      </c>
      <c r="W27">
        <v>-0.33378385752439499</v>
      </c>
    </row>
    <row r="28" spans="2:23" x14ac:dyDescent="0.2">
      <c r="B28">
        <v>2025</v>
      </c>
      <c r="C28">
        <v>10</v>
      </c>
      <c r="D28" t="s">
        <v>53</v>
      </c>
      <c r="E28" t="s">
        <v>10</v>
      </c>
      <c r="F28" s="11">
        <v>0.59132934265404202</v>
      </c>
      <c r="G28">
        <v>-144</v>
      </c>
      <c r="H28" s="10">
        <v>0.40867065734595698</v>
      </c>
      <c r="I28">
        <v>144</v>
      </c>
      <c r="J28">
        <v>-218</v>
      </c>
      <c r="K28">
        <v>180</v>
      </c>
      <c r="L28" t="s">
        <v>53</v>
      </c>
      <c r="M28" t="s">
        <v>53</v>
      </c>
      <c r="N28">
        <v>1</v>
      </c>
      <c r="O28">
        <v>4.5</v>
      </c>
      <c r="P28">
        <v>7.4688556572492502</v>
      </c>
      <c r="Q28">
        <v>45.5</v>
      </c>
      <c r="R28">
        <v>7.6580394398082299E-2</v>
      </c>
      <c r="S28">
        <v>5.45723960824208E-3</v>
      </c>
      <c r="T28">
        <v>-1.54433101415634E-2</v>
      </c>
      <c r="U28">
        <v>-5.45723960824208E-3</v>
      </c>
      <c r="V28">
        <v>-7.6580394398082299E-2</v>
      </c>
      <c r="W28" s="10">
        <v>1.54433101415634E-2</v>
      </c>
    </row>
    <row r="29" spans="2:23" x14ac:dyDescent="0.2">
      <c r="B29">
        <v>2025</v>
      </c>
      <c r="C29">
        <v>10</v>
      </c>
      <c r="D29" t="s">
        <v>85</v>
      </c>
      <c r="E29" t="s">
        <v>25</v>
      </c>
      <c r="F29" s="11">
        <v>0.62953558635408002</v>
      </c>
      <c r="G29">
        <v>-169</v>
      </c>
      <c r="H29" s="10">
        <v>0.37046441364591898</v>
      </c>
      <c r="I29">
        <v>169</v>
      </c>
      <c r="J29">
        <v>-105</v>
      </c>
      <c r="K29">
        <v>-115</v>
      </c>
      <c r="L29" t="s">
        <v>85</v>
      </c>
      <c r="M29" t="s">
        <v>85</v>
      </c>
      <c r="N29">
        <v>1</v>
      </c>
      <c r="O29">
        <v>-1.5</v>
      </c>
      <c r="P29" s="10">
        <v>5.7488555268741202</v>
      </c>
      <c r="Q29">
        <v>37.5</v>
      </c>
      <c r="R29" s="10">
        <v>0.119246615303887</v>
      </c>
      <c r="S29" s="10">
        <v>0.17853055234815199</v>
      </c>
      <c r="T29">
        <v>-0.35401583128962</v>
      </c>
      <c r="U29">
        <v>-0.17853055234815199</v>
      </c>
      <c r="V29">
        <v>-0.119246615303887</v>
      </c>
      <c r="W29" s="10">
        <v>0.35401583128962</v>
      </c>
    </row>
    <row r="30" spans="2:23" x14ac:dyDescent="0.2">
      <c r="B30">
        <v>2025</v>
      </c>
      <c r="C30">
        <v>10</v>
      </c>
      <c r="D30" t="s">
        <v>28</v>
      </c>
      <c r="E30" t="s">
        <v>50</v>
      </c>
      <c r="F30" s="11">
        <v>0.26774882612290102</v>
      </c>
      <c r="G30">
        <v>273</v>
      </c>
      <c r="H30" s="10">
        <v>0.73225117387709804</v>
      </c>
      <c r="I30">
        <v>-273</v>
      </c>
      <c r="J30">
        <v>350</v>
      </c>
      <c r="K30">
        <v>-455</v>
      </c>
      <c r="L30" t="s">
        <v>50</v>
      </c>
      <c r="M30" t="s">
        <v>28</v>
      </c>
      <c r="N30">
        <v>0</v>
      </c>
      <c r="O30">
        <v>-8.5</v>
      </c>
      <c r="P30">
        <v>-9.2184473624460601</v>
      </c>
      <c r="Q30">
        <v>50.5</v>
      </c>
      <c r="R30">
        <v>0.31231633354635802</v>
      </c>
      <c r="S30">
        <v>6.9657404031326503E-2</v>
      </c>
      <c r="T30" s="10">
        <v>0.107619822025299</v>
      </c>
      <c r="U30">
        <v>-6.9657404031326503E-2</v>
      </c>
      <c r="V30">
        <v>-0.31231633354635802</v>
      </c>
      <c r="W30">
        <v>-0.107619822025299</v>
      </c>
    </row>
    <row r="31" spans="2:23" x14ac:dyDescent="0.2">
      <c r="B31">
        <v>2025</v>
      </c>
      <c r="C31">
        <v>10</v>
      </c>
      <c r="D31" t="s">
        <v>77</v>
      </c>
      <c r="E31" t="s">
        <v>16</v>
      </c>
      <c r="F31" s="12">
        <v>0.44864183156943999</v>
      </c>
      <c r="G31">
        <v>122</v>
      </c>
      <c r="H31">
        <v>0.55135816843055996</v>
      </c>
      <c r="I31">
        <v>-122</v>
      </c>
      <c r="J31">
        <v>190</v>
      </c>
      <c r="K31">
        <v>-230</v>
      </c>
      <c r="L31" t="s">
        <v>16</v>
      </c>
      <c r="M31" t="s">
        <v>16</v>
      </c>
      <c r="N31">
        <v>1</v>
      </c>
      <c r="O31">
        <v>-4.5</v>
      </c>
      <c r="P31" s="10">
        <v>0.75145618814276405</v>
      </c>
      <c r="Q31">
        <v>48.5</v>
      </c>
      <c r="R31">
        <v>-7.0839390158653204E-2</v>
      </c>
      <c r="S31">
        <v>-1.02642423966351E-2</v>
      </c>
      <c r="T31">
        <v>-0.13717836141586301</v>
      </c>
      <c r="U31" s="10">
        <v>1.02642423966351E-2</v>
      </c>
      <c r="V31">
        <v>7.0839390158653204E-2</v>
      </c>
      <c r="W31" s="10">
        <v>0.13717836141586301</v>
      </c>
    </row>
    <row r="32" spans="2:23" x14ac:dyDescent="0.2">
      <c r="B32">
        <v>2025</v>
      </c>
      <c r="C32">
        <v>10</v>
      </c>
      <c r="D32" t="s">
        <v>13</v>
      </c>
      <c r="E32" t="s">
        <v>35</v>
      </c>
      <c r="F32" s="11">
        <v>0.63435391712634004</v>
      </c>
      <c r="G32">
        <v>-173</v>
      </c>
      <c r="H32" s="10">
        <v>0.36564608287365902</v>
      </c>
      <c r="I32">
        <v>173</v>
      </c>
      <c r="J32">
        <v>110</v>
      </c>
      <c r="K32">
        <v>-130</v>
      </c>
      <c r="L32" t="s">
        <v>13</v>
      </c>
      <c r="M32" t="s">
        <v>13</v>
      </c>
      <c r="N32">
        <v>1</v>
      </c>
      <c r="O32">
        <v>-1.5</v>
      </c>
      <c r="P32" s="10">
        <v>4.89578017066414</v>
      </c>
      <c r="Q32">
        <v>37.5</v>
      </c>
      <c r="R32">
        <v>-0.24411570772211599</v>
      </c>
      <c r="S32">
        <v>4.3361252301359801E-2</v>
      </c>
      <c r="T32" s="10">
        <v>0.467541448531612</v>
      </c>
      <c r="U32">
        <v>-4.3361252301359801E-2</v>
      </c>
      <c r="V32" s="10">
        <v>0.24411570772211599</v>
      </c>
      <c r="W32">
        <v>-0.467541448531612</v>
      </c>
    </row>
    <row r="33" spans="2:23" x14ac:dyDescent="0.2">
      <c r="B33">
        <v>2025</v>
      </c>
      <c r="C33">
        <v>10</v>
      </c>
      <c r="D33" t="s">
        <v>43</v>
      </c>
      <c r="E33" t="s">
        <v>32</v>
      </c>
      <c r="F33" s="11">
        <v>0.54090551862789005</v>
      </c>
      <c r="G33">
        <v>-117</v>
      </c>
      <c r="H33" s="10">
        <v>0.45909448137210901</v>
      </c>
      <c r="I33">
        <v>117</v>
      </c>
      <c r="J33">
        <v>-148</v>
      </c>
      <c r="K33">
        <v>124</v>
      </c>
      <c r="L33" t="s">
        <v>43</v>
      </c>
      <c r="M33" t="s">
        <v>32</v>
      </c>
      <c r="N33">
        <v>0</v>
      </c>
      <c r="O33">
        <v>2.5</v>
      </c>
      <c r="P33" s="10">
        <v>5.7404372134462696</v>
      </c>
      <c r="Q33">
        <v>48.5</v>
      </c>
      <c r="R33">
        <v>6.7429121802834904E-2</v>
      </c>
      <c r="S33">
        <v>-0.19361867904662999</v>
      </c>
      <c r="T33">
        <v>-3.2632189137594997E-2</v>
      </c>
      <c r="U33" s="10">
        <v>0.19361867904662999</v>
      </c>
      <c r="V33">
        <v>-6.7429121802834904E-2</v>
      </c>
      <c r="W33">
        <v>3.2632189137594997E-2</v>
      </c>
    </row>
    <row r="34" spans="2:23" x14ac:dyDescent="0.2">
      <c r="B34">
        <v>2025</v>
      </c>
      <c r="C34">
        <v>10</v>
      </c>
      <c r="D34" t="s">
        <v>26</v>
      </c>
      <c r="E34" t="s">
        <v>23</v>
      </c>
      <c r="F34" s="11">
        <v>0.60361180365995204</v>
      </c>
      <c r="G34">
        <v>-152</v>
      </c>
      <c r="H34" s="10">
        <v>0.39638819634004702</v>
      </c>
      <c r="I34">
        <v>152</v>
      </c>
      <c r="J34">
        <v>-340</v>
      </c>
      <c r="K34">
        <v>270</v>
      </c>
      <c r="L34" t="s">
        <v>26</v>
      </c>
      <c r="M34" t="s">
        <v>26</v>
      </c>
      <c r="N34">
        <v>1</v>
      </c>
      <c r="O34">
        <v>7</v>
      </c>
      <c r="P34" s="10">
        <v>2.2381512359757401</v>
      </c>
      <c r="Q34">
        <v>44.5</v>
      </c>
      <c r="R34">
        <v>8.7747590583667406E-2</v>
      </c>
      <c r="S34" s="10">
        <v>0.22612943013509099</v>
      </c>
      <c r="T34" s="10">
        <v>0.19157504609652901</v>
      </c>
      <c r="U34">
        <v>-0.22612943013509099</v>
      </c>
      <c r="V34">
        <v>-8.7747590583667406E-2</v>
      </c>
      <c r="W34">
        <v>-0.19157504609652901</v>
      </c>
    </row>
    <row r="35" spans="2:23" x14ac:dyDescent="0.2">
      <c r="B35">
        <v>2025</v>
      </c>
      <c r="C35">
        <v>10</v>
      </c>
      <c r="D35" t="s">
        <v>44</v>
      </c>
      <c r="E35" t="s">
        <v>17</v>
      </c>
      <c r="F35" s="12">
        <v>0.37630172519376898</v>
      </c>
      <c r="G35">
        <v>165</v>
      </c>
      <c r="H35">
        <v>0.62369827480623097</v>
      </c>
      <c r="I35">
        <v>-165</v>
      </c>
      <c r="J35">
        <v>210</v>
      </c>
      <c r="K35">
        <v>-258</v>
      </c>
      <c r="L35" t="s">
        <v>17</v>
      </c>
      <c r="M35" t="s">
        <v>17</v>
      </c>
      <c r="N35">
        <v>1</v>
      </c>
      <c r="O35">
        <v>-5.5</v>
      </c>
      <c r="P35">
        <v>-6.0450951589045196</v>
      </c>
      <c r="Q35">
        <v>49.5</v>
      </c>
      <c r="R35" s="10">
        <v>0.129427033085976</v>
      </c>
      <c r="S35">
        <v>-0.41414830134465103</v>
      </c>
      <c r="T35">
        <v>-2.97218469473031E-2</v>
      </c>
      <c r="U35" s="10">
        <v>0.41414830134465103</v>
      </c>
      <c r="V35">
        <v>-0.129427033085976</v>
      </c>
      <c r="W35" s="10">
        <v>2.97218469473031E-2</v>
      </c>
    </row>
    <row r="36" spans="2:23" x14ac:dyDescent="0.2">
      <c r="B36">
        <v>2025</v>
      </c>
      <c r="C36">
        <v>10</v>
      </c>
      <c r="D36" t="s">
        <v>52</v>
      </c>
      <c r="E36" t="s">
        <v>47</v>
      </c>
      <c r="F36" s="11">
        <v>0.32988906538198298</v>
      </c>
      <c r="G36">
        <v>203</v>
      </c>
      <c r="H36" s="10">
        <v>0.67011093461801596</v>
      </c>
      <c r="I36">
        <v>-203</v>
      </c>
      <c r="J36">
        <v>350</v>
      </c>
      <c r="K36">
        <v>-455</v>
      </c>
      <c r="L36" t="s">
        <v>47</v>
      </c>
      <c r="M36" t="s">
        <v>47</v>
      </c>
      <c r="N36">
        <v>1</v>
      </c>
      <c r="O36">
        <v>-8.5</v>
      </c>
      <c r="P36">
        <v>-8.9053152506225004</v>
      </c>
      <c r="Q36">
        <v>49.5</v>
      </c>
      <c r="R36" s="10">
        <v>0.213706353131462</v>
      </c>
      <c r="S36">
        <v>-0.49142588739809701</v>
      </c>
      <c r="T36">
        <v>-5.0597828010032903E-2</v>
      </c>
      <c r="U36" s="10">
        <v>0.49142588739809701</v>
      </c>
      <c r="V36">
        <v>-0.213706353131462</v>
      </c>
      <c r="W36" s="10">
        <v>5.0597828010032903E-2</v>
      </c>
    </row>
    <row r="37" spans="2:23" x14ac:dyDescent="0.2">
      <c r="B37">
        <v>2025</v>
      </c>
      <c r="C37">
        <v>10</v>
      </c>
      <c r="D37" t="s">
        <v>29</v>
      </c>
      <c r="E37" t="s">
        <v>34</v>
      </c>
      <c r="F37" s="11">
        <v>0.64365103697371895</v>
      </c>
      <c r="G37">
        <v>-180</v>
      </c>
      <c r="H37" s="10">
        <v>0.35634896302628</v>
      </c>
      <c r="I37">
        <v>180</v>
      </c>
      <c r="J37">
        <v>-162</v>
      </c>
      <c r="K37">
        <v>136</v>
      </c>
      <c r="L37" t="s">
        <v>29</v>
      </c>
      <c r="M37" t="s">
        <v>29</v>
      </c>
      <c r="N37">
        <v>1</v>
      </c>
      <c r="O37">
        <v>3</v>
      </c>
      <c r="P37" s="10">
        <v>4.55377558245738</v>
      </c>
      <c r="Q37">
        <v>45.5</v>
      </c>
      <c r="R37">
        <v>-0.11164817545149</v>
      </c>
      <c r="S37" s="10">
        <v>0.37294952686016303</v>
      </c>
      <c r="T37" s="10">
        <v>0.22981030686662099</v>
      </c>
      <c r="U37">
        <v>-0.37294952686016303</v>
      </c>
      <c r="V37" s="10">
        <v>0.11164817545149</v>
      </c>
      <c r="W37">
        <v>-0.22981030686662099</v>
      </c>
    </row>
    <row r="38" spans="2:23" x14ac:dyDescent="0.2">
      <c r="B38">
        <v>2025</v>
      </c>
      <c r="C38">
        <v>10</v>
      </c>
      <c r="D38" t="s">
        <v>40</v>
      </c>
      <c r="E38" t="s">
        <v>11</v>
      </c>
      <c r="F38" s="11">
        <v>0.54854360552546999</v>
      </c>
      <c r="G38">
        <v>-121</v>
      </c>
      <c r="H38" s="10">
        <v>0.45145639447452901</v>
      </c>
      <c r="I38">
        <v>121</v>
      </c>
      <c r="J38">
        <v>-110</v>
      </c>
      <c r="K38">
        <v>-110</v>
      </c>
      <c r="L38" t="s">
        <v>40</v>
      </c>
      <c r="M38" t="s">
        <v>11</v>
      </c>
      <c r="N38">
        <v>0</v>
      </c>
      <c r="O38">
        <v>1.5</v>
      </c>
      <c r="P38" s="10">
        <v>1.97391585193694</v>
      </c>
      <c r="Q38">
        <v>45.5</v>
      </c>
      <c r="R38">
        <v>-0.15282585371786001</v>
      </c>
      <c r="S38">
        <v>6.9291402423192497E-2</v>
      </c>
      <c r="T38">
        <v>-3.6483339573207603E-2</v>
      </c>
      <c r="U38">
        <v>-6.9291402423192497E-2</v>
      </c>
      <c r="V38" s="10">
        <v>0.15282585371786001</v>
      </c>
      <c r="W38">
        <v>3.6483339573207603E-2</v>
      </c>
    </row>
  </sheetData>
  <mergeCells count="4">
    <mergeCell ref="F6:I6"/>
    <mergeCell ref="J6:L6"/>
    <mergeCell ref="N6:P6"/>
    <mergeCell ref="Q6:S6"/>
  </mergeCells>
  <conditionalFormatting sqref="N8:N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8:O2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P2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:Q2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:R2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:S2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2588AAB-58C8-2E49-97E6-251FBB48BB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L8:L21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9F28-F7F7-4146-8090-5B44E7C856D4}">
  <dimension ref="B2:AF23"/>
  <sheetViews>
    <sheetView showGridLines="0" workbookViewId="0">
      <selection activeCell="K18" sqref="K18"/>
    </sheetView>
  </sheetViews>
  <sheetFormatPr baseColWidth="10" defaultRowHeight="15" x14ac:dyDescent="0.2"/>
  <cols>
    <col min="2" max="3" width="9.5" customWidth="1"/>
    <col min="4" max="4" width="10.5" bestFit="1" customWidth="1"/>
    <col min="5" max="5" width="9.83203125" bestFit="1" customWidth="1"/>
    <col min="6" max="6" width="10.1640625" customWidth="1"/>
    <col min="7" max="7" width="13.33203125" customWidth="1"/>
    <col min="8" max="8" width="9.5" customWidth="1"/>
    <col min="9" max="9" width="12.6640625" customWidth="1"/>
    <col min="10" max="10" width="4.83203125" customWidth="1"/>
    <col min="11" max="11" width="6.6640625" customWidth="1"/>
    <col min="12" max="12" width="14" customWidth="1"/>
    <col min="13" max="14" width="11.6640625" customWidth="1"/>
    <col min="15" max="15" width="10.1640625" bestFit="1" customWidth="1"/>
    <col min="16" max="16" width="10.83203125" bestFit="1" customWidth="1"/>
    <col min="17" max="17" width="10.33203125" bestFit="1" customWidth="1"/>
    <col min="18" max="18" width="5.6640625" bestFit="1" customWidth="1"/>
    <col min="19" max="19" width="11.6640625" bestFit="1" customWidth="1"/>
    <col min="20" max="20" width="13.6640625" bestFit="1" customWidth="1"/>
    <col min="21" max="21" width="8.6640625" bestFit="1" customWidth="1"/>
    <col min="22" max="22" width="9.33203125" bestFit="1" customWidth="1"/>
    <col min="23" max="23" width="8.83203125" bestFit="1" customWidth="1"/>
    <col min="24" max="24" width="4.83203125" bestFit="1" customWidth="1"/>
    <col min="25" max="25" width="10.1640625" bestFit="1" customWidth="1"/>
    <col min="26" max="26" width="12.1640625" bestFit="1" customWidth="1"/>
    <col min="27" max="28" width="10.1640625" bestFit="1" customWidth="1"/>
    <col min="29" max="29" width="10.6640625" bestFit="1" customWidth="1"/>
    <col min="30" max="31" width="10.1640625" bestFit="1" customWidth="1"/>
    <col min="32" max="32" width="10.6640625" bestFit="1" customWidth="1"/>
  </cols>
  <sheetData>
    <row r="2" spans="2:32" x14ac:dyDescent="0.2">
      <c r="B2" s="7" t="s">
        <v>63</v>
      </c>
      <c r="C2" s="13">
        <f>COUNTA(C9:C24)</f>
        <v>15</v>
      </c>
    </row>
    <row r="3" spans="2:32" x14ac:dyDescent="0.2">
      <c r="B3" s="7" t="s">
        <v>145</v>
      </c>
      <c r="C3" s="13">
        <f>SUM(L9:L24)</f>
        <v>10</v>
      </c>
      <c r="D3" s="14">
        <f>C3/$C$2</f>
        <v>0.66666666666666663</v>
      </c>
    </row>
    <row r="4" spans="2:32" x14ac:dyDescent="0.2">
      <c r="B4" s="7" t="s">
        <v>146</v>
      </c>
      <c r="C4" s="13">
        <f>SUM(T9:T24)</f>
        <v>6</v>
      </c>
      <c r="D4" s="14">
        <f t="shared" ref="D4:D5" si="0">C4/$C$2</f>
        <v>0.4</v>
      </c>
    </row>
    <row r="5" spans="2:32" x14ac:dyDescent="0.2">
      <c r="B5" s="7" t="s">
        <v>147</v>
      </c>
      <c r="C5" s="13">
        <f>SUM(Z9:Z24)</f>
        <v>7</v>
      </c>
      <c r="D5" s="14">
        <f t="shared" si="0"/>
        <v>0.46666666666666667</v>
      </c>
    </row>
    <row r="6" spans="2:32" x14ac:dyDescent="0.2">
      <c r="C6" s="6"/>
    </row>
    <row r="7" spans="2:32" x14ac:dyDescent="0.2">
      <c r="F7" s="20" t="s">
        <v>142</v>
      </c>
      <c r="G7" s="20"/>
      <c r="H7" s="20"/>
      <c r="I7" s="20"/>
      <c r="J7" s="20"/>
      <c r="K7" s="20"/>
      <c r="L7" s="20"/>
      <c r="M7" s="20" t="s">
        <v>149</v>
      </c>
      <c r="N7" s="20"/>
      <c r="O7" s="20" t="s">
        <v>143</v>
      </c>
      <c r="P7" s="20"/>
      <c r="Q7" s="20"/>
      <c r="R7" s="20"/>
      <c r="S7" s="20"/>
      <c r="T7" s="20"/>
      <c r="U7" s="20" t="s">
        <v>144</v>
      </c>
      <c r="V7" s="20"/>
      <c r="W7" s="20"/>
      <c r="X7" s="20"/>
      <c r="Y7" s="20"/>
      <c r="Z7" s="20"/>
      <c r="AA7" s="20" t="s">
        <v>55</v>
      </c>
      <c r="AB7" s="20"/>
      <c r="AC7" s="20"/>
      <c r="AD7" s="20" t="s">
        <v>56</v>
      </c>
      <c r="AE7" s="20"/>
      <c r="AF7" s="20"/>
    </row>
    <row r="8" spans="2:32" x14ac:dyDescent="0.2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7</v>
      </c>
      <c r="H8" s="1" t="s">
        <v>5</v>
      </c>
      <c r="I8" s="1" t="s">
        <v>8</v>
      </c>
      <c r="J8" s="1" t="s">
        <v>6</v>
      </c>
      <c r="K8" s="1" t="s">
        <v>9</v>
      </c>
      <c r="L8" s="1" t="s">
        <v>129</v>
      </c>
      <c r="M8" s="1" t="s">
        <v>139</v>
      </c>
      <c r="N8" s="1" t="s">
        <v>138</v>
      </c>
      <c r="O8" s="1" t="s">
        <v>126</v>
      </c>
      <c r="P8" s="1" t="s">
        <v>127</v>
      </c>
      <c r="Q8" s="1" t="s">
        <v>130</v>
      </c>
      <c r="R8" s="1" t="s">
        <v>131</v>
      </c>
      <c r="S8" s="1" t="s">
        <v>132</v>
      </c>
      <c r="T8" s="1" t="s">
        <v>133</v>
      </c>
      <c r="U8" s="1" t="s">
        <v>128</v>
      </c>
      <c r="V8" s="1" t="s">
        <v>148</v>
      </c>
      <c r="W8" s="1" t="s">
        <v>134</v>
      </c>
      <c r="X8" s="1" t="s">
        <v>135</v>
      </c>
      <c r="Y8" s="1" t="s">
        <v>136</v>
      </c>
      <c r="Z8" s="1" t="s">
        <v>137</v>
      </c>
      <c r="AA8" s="1" t="s">
        <v>57</v>
      </c>
      <c r="AB8" s="1" t="s">
        <v>58</v>
      </c>
      <c r="AC8" s="1" t="s">
        <v>59</v>
      </c>
      <c r="AD8" s="1" t="s">
        <v>57</v>
      </c>
      <c r="AE8" s="1" t="s">
        <v>58</v>
      </c>
      <c r="AF8" s="1" t="s">
        <v>59</v>
      </c>
    </row>
    <row r="9" spans="2:32" x14ac:dyDescent="0.2">
      <c r="B9" s="4">
        <v>2025</v>
      </c>
      <c r="C9" s="4">
        <v>11</v>
      </c>
      <c r="D9" s="4" t="s">
        <v>32</v>
      </c>
      <c r="E9" s="4" t="s">
        <v>13</v>
      </c>
      <c r="F9" s="8">
        <v>0.73413241799196705</v>
      </c>
      <c r="G9" s="4">
        <v>-276</v>
      </c>
      <c r="H9" s="8">
        <v>0.26586758200803201</v>
      </c>
      <c r="I9" s="4">
        <v>276</v>
      </c>
      <c r="J9" s="4" t="s">
        <v>32</v>
      </c>
      <c r="K9" s="4" t="s">
        <v>32</v>
      </c>
      <c r="L9" s="4">
        <v>1</v>
      </c>
      <c r="M9" s="15">
        <v>25.5283693254224</v>
      </c>
      <c r="N9" s="15">
        <v>20.223730455376899</v>
      </c>
      <c r="O9" s="4">
        <v>12.5</v>
      </c>
      <c r="P9" s="15">
        <v>5.3046388700454301</v>
      </c>
      <c r="Q9" s="4" t="s">
        <v>138</v>
      </c>
      <c r="R9" s="4">
        <v>13</v>
      </c>
      <c r="S9" s="4" t="s">
        <v>139</v>
      </c>
      <c r="T9" s="4">
        <v>0</v>
      </c>
      <c r="U9" s="4">
        <v>43.5</v>
      </c>
      <c r="V9" s="9">
        <v>45.752099780799298</v>
      </c>
      <c r="W9" s="4" t="s">
        <v>140</v>
      </c>
      <c r="X9" s="4">
        <v>41</v>
      </c>
      <c r="Y9" s="4" t="s">
        <v>141</v>
      </c>
      <c r="Z9" s="4">
        <v>0</v>
      </c>
      <c r="AA9" s="5">
        <v>0.13845151662826499</v>
      </c>
      <c r="AB9" s="5">
        <v>8.5097379851759497E-2</v>
      </c>
      <c r="AC9" s="5">
        <v>-2.5755164623260499E-2</v>
      </c>
      <c r="AD9" s="5">
        <v>-8.5097379851759497E-2</v>
      </c>
      <c r="AE9" s="5">
        <v>-0.13845151662826499</v>
      </c>
      <c r="AF9" s="5">
        <v>2.5755164623260499E-2</v>
      </c>
    </row>
    <row r="10" spans="2:32" x14ac:dyDescent="0.2">
      <c r="B10" s="4">
        <v>2025</v>
      </c>
      <c r="C10" s="4">
        <v>11</v>
      </c>
      <c r="D10" s="4" t="s">
        <v>28</v>
      </c>
      <c r="E10" s="4" t="s">
        <v>52</v>
      </c>
      <c r="F10" s="8">
        <v>0.52678544076996603</v>
      </c>
      <c r="G10" s="4">
        <v>-111</v>
      </c>
      <c r="H10" s="8">
        <v>0.47321455923003303</v>
      </c>
      <c r="I10" s="4">
        <v>111</v>
      </c>
      <c r="J10" s="4" t="s">
        <v>28</v>
      </c>
      <c r="K10" s="4" t="s">
        <v>28</v>
      </c>
      <c r="L10" s="4">
        <v>1</v>
      </c>
      <c r="M10" s="15">
        <v>24.527074446902901</v>
      </c>
      <c r="N10" s="15">
        <v>24.057862414867401</v>
      </c>
      <c r="O10" s="4">
        <v>2.5</v>
      </c>
      <c r="P10" s="15">
        <v>0.46921203203550299</v>
      </c>
      <c r="Q10" s="4" t="s">
        <v>138</v>
      </c>
      <c r="R10" s="4">
        <v>3</v>
      </c>
      <c r="S10" s="4" t="s">
        <v>139</v>
      </c>
      <c r="T10" s="4">
        <v>0</v>
      </c>
      <c r="U10" s="4">
        <v>47.5</v>
      </c>
      <c r="V10" s="9">
        <v>48.584936861770302</v>
      </c>
      <c r="W10" s="4" t="s">
        <v>140</v>
      </c>
      <c r="X10" s="4">
        <v>29</v>
      </c>
      <c r="Y10" s="4" t="s">
        <v>141</v>
      </c>
      <c r="Z10" s="4">
        <v>0</v>
      </c>
      <c r="AA10" s="5">
        <v>-6.6568372505051701E-3</v>
      </c>
      <c r="AB10" s="5">
        <v>-8.1908560510891501E-2</v>
      </c>
      <c r="AC10" s="5">
        <v>0.525942802429199</v>
      </c>
      <c r="AD10" s="5">
        <v>8.1908560510891501E-2</v>
      </c>
      <c r="AE10" s="5">
        <v>6.6568372505051701E-3</v>
      </c>
      <c r="AF10" s="5">
        <v>-0.525942802429199</v>
      </c>
    </row>
    <row r="11" spans="2:32" x14ac:dyDescent="0.2">
      <c r="B11" s="4">
        <v>2025</v>
      </c>
      <c r="C11" s="4">
        <v>11</v>
      </c>
      <c r="D11" s="4" t="s">
        <v>49</v>
      </c>
      <c r="E11" s="4" t="s">
        <v>19</v>
      </c>
      <c r="F11" s="8">
        <v>0.51452567535983895</v>
      </c>
      <c r="G11" s="4">
        <v>-105</v>
      </c>
      <c r="H11" s="8">
        <v>0.48547432464015999</v>
      </c>
      <c r="I11" s="4">
        <v>105</v>
      </c>
      <c r="J11" s="4" t="s">
        <v>49</v>
      </c>
      <c r="K11" s="4" t="s">
        <v>19</v>
      </c>
      <c r="L11" s="4">
        <v>0</v>
      </c>
      <c r="M11" s="15">
        <v>22.071650167550398</v>
      </c>
      <c r="N11" s="15">
        <v>22.1224934082529</v>
      </c>
      <c r="O11" s="4">
        <v>4.5</v>
      </c>
      <c r="P11" s="9">
        <v>-5.0843240702572901E-2</v>
      </c>
      <c r="Q11" s="4" t="s">
        <v>138</v>
      </c>
      <c r="R11" s="4">
        <v>-3</v>
      </c>
      <c r="S11" s="4" t="s">
        <v>138</v>
      </c>
      <c r="T11" s="4">
        <v>1</v>
      </c>
      <c r="U11" s="4">
        <v>42.5</v>
      </c>
      <c r="V11" s="9">
        <v>44.194143575803302</v>
      </c>
      <c r="W11" s="4" t="s">
        <v>140</v>
      </c>
      <c r="X11" s="4">
        <v>57</v>
      </c>
      <c r="Y11" s="4" t="s">
        <v>140</v>
      </c>
      <c r="Z11" s="4">
        <v>1</v>
      </c>
      <c r="AA11" s="5">
        <v>8.8263251564719397E-2</v>
      </c>
      <c r="AB11" s="5">
        <v>-9.7721842976359496E-2</v>
      </c>
      <c r="AC11" s="5">
        <v>-0.147409588098526</v>
      </c>
      <c r="AD11" s="5">
        <v>9.7721842976359496E-2</v>
      </c>
      <c r="AE11" s="5">
        <v>-8.8263251564719397E-2</v>
      </c>
      <c r="AF11" s="5">
        <v>0.147409588098526</v>
      </c>
    </row>
    <row r="12" spans="2:32" x14ac:dyDescent="0.2">
      <c r="B12" s="4">
        <v>2025</v>
      </c>
      <c r="C12" s="4">
        <v>11</v>
      </c>
      <c r="D12" s="4" t="s">
        <v>50</v>
      </c>
      <c r="E12" s="4" t="s">
        <v>43</v>
      </c>
      <c r="F12" s="8">
        <v>0.507731789228138</v>
      </c>
      <c r="G12" s="4">
        <v>-103</v>
      </c>
      <c r="H12" s="8">
        <v>0.492268210771861</v>
      </c>
      <c r="I12" s="4">
        <v>103</v>
      </c>
      <c r="J12" s="4" t="s">
        <v>50</v>
      </c>
      <c r="K12" s="4" t="s">
        <v>50</v>
      </c>
      <c r="L12" s="4">
        <v>1</v>
      </c>
      <c r="M12" s="15">
        <v>23.286360623722398</v>
      </c>
      <c r="N12" s="15">
        <v>23.4779267183612</v>
      </c>
      <c r="O12" s="4">
        <v>6</v>
      </c>
      <c r="P12" s="9">
        <v>-0.19156609463870899</v>
      </c>
      <c r="Q12" s="4" t="s">
        <v>138</v>
      </c>
      <c r="R12" s="4">
        <v>12</v>
      </c>
      <c r="S12" s="4" t="s">
        <v>139</v>
      </c>
      <c r="T12" s="4">
        <v>0</v>
      </c>
      <c r="U12" s="4">
        <v>46.5</v>
      </c>
      <c r="V12" s="9">
        <v>46.764287342083698</v>
      </c>
      <c r="W12" s="4" t="s">
        <v>140</v>
      </c>
      <c r="X12" s="4">
        <v>76</v>
      </c>
      <c r="Y12" s="4" t="s">
        <v>140</v>
      </c>
      <c r="Z12" s="4">
        <v>1</v>
      </c>
      <c r="AA12" s="5">
        <v>0.30272924249822403</v>
      </c>
      <c r="AB12" s="5">
        <v>-9.9317249129800195E-2</v>
      </c>
      <c r="AC12" s="5">
        <v>6.7811171213785798E-2</v>
      </c>
      <c r="AD12" s="5">
        <v>9.9317249129800195E-2</v>
      </c>
      <c r="AE12" s="5">
        <v>-0.30272924249822403</v>
      </c>
      <c r="AF12" s="5">
        <v>-6.7811171213785798E-2</v>
      </c>
    </row>
    <row r="13" spans="2:32" x14ac:dyDescent="0.2">
      <c r="B13" s="4">
        <v>2025</v>
      </c>
      <c r="C13" s="4">
        <v>11</v>
      </c>
      <c r="D13" s="4" t="s">
        <v>25</v>
      </c>
      <c r="E13" s="4" t="s">
        <v>29</v>
      </c>
      <c r="F13" s="8">
        <v>0.36620121932708899</v>
      </c>
      <c r="G13" s="4">
        <v>173</v>
      </c>
      <c r="H13" s="8">
        <v>0.63379878067290996</v>
      </c>
      <c r="I13" s="4">
        <v>-173</v>
      </c>
      <c r="J13" s="4" t="s">
        <v>29</v>
      </c>
      <c r="K13" s="4" t="s">
        <v>25</v>
      </c>
      <c r="L13" s="4">
        <v>0</v>
      </c>
      <c r="M13" s="15">
        <v>21.930669471707699</v>
      </c>
      <c r="N13" s="15">
        <v>23.7318117665038</v>
      </c>
      <c r="O13" s="4">
        <v>-3</v>
      </c>
      <c r="P13" s="9">
        <v>-1.80114229479605</v>
      </c>
      <c r="Q13" s="4" t="s">
        <v>139</v>
      </c>
      <c r="R13" s="4">
        <v>29</v>
      </c>
      <c r="S13" s="4" t="s">
        <v>139</v>
      </c>
      <c r="T13" s="4">
        <v>1</v>
      </c>
      <c r="U13" s="4">
        <v>43.5</v>
      </c>
      <c r="V13" s="9">
        <v>45.662481238211598</v>
      </c>
      <c r="W13" s="4" t="s">
        <v>140</v>
      </c>
      <c r="X13" s="4">
        <v>41</v>
      </c>
      <c r="Y13" s="4" t="s">
        <v>141</v>
      </c>
      <c r="Z13" s="4">
        <v>0</v>
      </c>
      <c r="AA13" s="5">
        <v>0.13688973977532101</v>
      </c>
      <c r="AB13" s="5">
        <v>0.470604658126831</v>
      </c>
      <c r="AC13" s="5">
        <v>-6.7403095960616999E-2</v>
      </c>
      <c r="AD13" s="5">
        <v>-0.470604658126831</v>
      </c>
      <c r="AE13" s="5">
        <v>-0.13688973977532101</v>
      </c>
      <c r="AF13" s="5">
        <v>6.7403095960616999E-2</v>
      </c>
    </row>
    <row r="14" spans="2:32" x14ac:dyDescent="0.2">
      <c r="B14" s="4">
        <v>2025</v>
      </c>
      <c r="C14" s="4">
        <v>11</v>
      </c>
      <c r="D14" s="4" t="s">
        <v>77</v>
      </c>
      <c r="E14" s="4" t="s">
        <v>53</v>
      </c>
      <c r="F14" s="8">
        <v>0.44461106270322898</v>
      </c>
      <c r="G14" s="4">
        <v>124</v>
      </c>
      <c r="H14" s="8">
        <v>0.55538893729676997</v>
      </c>
      <c r="I14" s="4">
        <v>-124</v>
      </c>
      <c r="J14" s="4" t="s">
        <v>53</v>
      </c>
      <c r="K14" s="4" t="s">
        <v>53</v>
      </c>
      <c r="L14" s="4">
        <v>1</v>
      </c>
      <c r="M14" s="15">
        <v>24.368538565216099</v>
      </c>
      <c r="N14" s="15">
        <v>21.6637862656866</v>
      </c>
      <c r="O14" s="4">
        <v>3</v>
      </c>
      <c r="P14" s="15">
        <v>2.7047522995294999</v>
      </c>
      <c r="Q14" s="4" t="s">
        <v>138</v>
      </c>
      <c r="R14" s="4">
        <v>-2</v>
      </c>
      <c r="S14" s="4" t="s">
        <v>138</v>
      </c>
      <c r="T14" s="4">
        <v>1</v>
      </c>
      <c r="U14" s="4">
        <v>47.5</v>
      </c>
      <c r="V14" s="9">
        <v>46.032324830902802</v>
      </c>
      <c r="W14" s="4" t="s">
        <v>141</v>
      </c>
      <c r="X14" s="4">
        <v>36</v>
      </c>
      <c r="Y14" s="4" t="s">
        <v>141</v>
      </c>
      <c r="Z14" s="4">
        <v>1</v>
      </c>
      <c r="AA14" s="5">
        <v>-0.176169863614169</v>
      </c>
      <c r="AB14" s="5">
        <v>6.3100865681966101E-2</v>
      </c>
      <c r="AC14" s="5">
        <v>3.2722870508829702E-3</v>
      </c>
      <c r="AD14" s="5">
        <v>-6.3100865681966101E-2</v>
      </c>
      <c r="AE14" s="5">
        <v>0.176169863614169</v>
      </c>
      <c r="AF14" s="5">
        <v>-3.2722870508829702E-3</v>
      </c>
    </row>
    <row r="15" spans="2:32" x14ac:dyDescent="0.2">
      <c r="B15" s="4">
        <v>2025</v>
      </c>
      <c r="C15" s="4">
        <v>11</v>
      </c>
      <c r="D15" s="4" t="s">
        <v>10</v>
      </c>
      <c r="E15" s="4" t="s">
        <v>40</v>
      </c>
      <c r="F15" s="8">
        <v>0.35652248221636301</v>
      </c>
      <c r="G15" s="4">
        <v>180</v>
      </c>
      <c r="H15" s="8">
        <v>0.64347751778363604</v>
      </c>
      <c r="I15" s="4">
        <v>-180</v>
      </c>
      <c r="J15" s="4" t="s">
        <v>40</v>
      </c>
      <c r="K15" s="4" t="s">
        <v>40</v>
      </c>
      <c r="L15" s="4">
        <v>1</v>
      </c>
      <c r="M15" s="15">
        <v>21.472942214323101</v>
      </c>
      <c r="N15" s="15">
        <v>29.823337950231299</v>
      </c>
      <c r="O15" s="4">
        <v>-7.5</v>
      </c>
      <c r="P15" s="9">
        <v>-8.3503957359081493</v>
      </c>
      <c r="Q15" s="4" t="s">
        <v>138</v>
      </c>
      <c r="R15" s="4">
        <v>-7</v>
      </c>
      <c r="S15" s="4" t="s">
        <v>139</v>
      </c>
      <c r="T15" s="4">
        <v>0</v>
      </c>
      <c r="U15" s="4">
        <v>41.5</v>
      </c>
      <c r="V15" s="9">
        <v>51.296280164554403</v>
      </c>
      <c r="W15" s="4" t="s">
        <v>140</v>
      </c>
      <c r="X15" s="4">
        <v>47</v>
      </c>
      <c r="Y15" s="4" t="s">
        <v>140</v>
      </c>
      <c r="Z15" s="4">
        <v>1</v>
      </c>
      <c r="AA15" s="5">
        <v>0.13630216894015401</v>
      </c>
      <c r="AB15" s="5">
        <v>-0.33779027726915101</v>
      </c>
      <c r="AC15" s="5">
        <v>1.35938240134197E-2</v>
      </c>
      <c r="AD15" s="5">
        <v>0.33779027726915101</v>
      </c>
      <c r="AE15" s="5">
        <v>-0.13630216894015401</v>
      </c>
      <c r="AF15" s="5">
        <v>-1.35938240134197E-2</v>
      </c>
    </row>
    <row r="16" spans="2:32" x14ac:dyDescent="0.2">
      <c r="B16" s="4">
        <v>2025</v>
      </c>
      <c r="C16" s="4">
        <v>11</v>
      </c>
      <c r="D16" s="4" t="s">
        <v>34</v>
      </c>
      <c r="E16" s="4" t="s">
        <v>41</v>
      </c>
      <c r="F16" s="8">
        <v>0.48976372718001498</v>
      </c>
      <c r="G16" s="4">
        <v>104</v>
      </c>
      <c r="H16" s="8">
        <v>0.51023627281998396</v>
      </c>
      <c r="I16" s="4">
        <v>-104</v>
      </c>
      <c r="J16" s="4" t="s">
        <v>41</v>
      </c>
      <c r="K16" s="4" t="s">
        <v>34</v>
      </c>
      <c r="L16" s="4">
        <v>0</v>
      </c>
      <c r="M16" s="15">
        <v>24.412030847143701</v>
      </c>
      <c r="N16" s="15">
        <v>23.292815054106001</v>
      </c>
      <c r="O16" s="4">
        <v>5.5</v>
      </c>
      <c r="P16" s="15">
        <v>1.11921579303771</v>
      </c>
      <c r="Q16" s="4" t="s">
        <v>138</v>
      </c>
      <c r="R16" s="4">
        <v>22</v>
      </c>
      <c r="S16" s="4" t="s">
        <v>139</v>
      </c>
      <c r="T16" s="4">
        <v>0</v>
      </c>
      <c r="U16" s="4">
        <v>48.5</v>
      </c>
      <c r="V16" s="9">
        <v>47.704845901249698</v>
      </c>
      <c r="W16" s="4" t="s">
        <v>141</v>
      </c>
      <c r="X16" s="4">
        <v>46</v>
      </c>
      <c r="Y16" s="4" t="s">
        <v>141</v>
      </c>
      <c r="Z16" s="4">
        <v>1</v>
      </c>
      <c r="AA16" s="5">
        <v>0.18347394466400099</v>
      </c>
      <c r="AB16" s="5">
        <v>0.17247109115123699</v>
      </c>
      <c r="AC16" s="5">
        <v>-6.6691480301044603E-2</v>
      </c>
      <c r="AD16" s="5">
        <v>-0.17247109115123699</v>
      </c>
      <c r="AE16" s="5">
        <v>-0.18347394466400099</v>
      </c>
      <c r="AF16" s="5">
        <v>6.6691480301044603E-2</v>
      </c>
    </row>
    <row r="17" spans="2:32" x14ac:dyDescent="0.2">
      <c r="B17" s="4">
        <v>2025</v>
      </c>
      <c r="C17" s="4">
        <v>11</v>
      </c>
      <c r="D17" s="4" t="s">
        <v>38</v>
      </c>
      <c r="E17" s="4" t="s">
        <v>85</v>
      </c>
      <c r="F17" s="8">
        <v>0.296163639609338</v>
      </c>
      <c r="G17" s="4">
        <v>237</v>
      </c>
      <c r="H17" s="8">
        <v>0.703836360390661</v>
      </c>
      <c r="I17" s="4">
        <v>-237</v>
      </c>
      <c r="J17" s="4" t="s">
        <v>85</v>
      </c>
      <c r="K17" s="4" t="s">
        <v>85</v>
      </c>
      <c r="L17" s="4">
        <v>1</v>
      </c>
      <c r="M17" s="15">
        <v>16.8629876337688</v>
      </c>
      <c r="N17" s="15">
        <v>25.645130148032599</v>
      </c>
      <c r="O17" s="4">
        <v>-5.5</v>
      </c>
      <c r="P17" s="9">
        <v>-8.7821425142637892</v>
      </c>
      <c r="Q17" s="4" t="s">
        <v>138</v>
      </c>
      <c r="R17" s="4">
        <v>-3</v>
      </c>
      <c r="S17" s="4" t="s">
        <v>139</v>
      </c>
      <c r="T17" s="4">
        <v>0</v>
      </c>
      <c r="U17" s="4">
        <v>37.5</v>
      </c>
      <c r="V17" s="9">
        <v>42.508117781801403</v>
      </c>
      <c r="W17" s="4" t="s">
        <v>140</v>
      </c>
      <c r="X17" s="4">
        <v>29</v>
      </c>
      <c r="Y17" s="4" t="s">
        <v>141</v>
      </c>
      <c r="Z17" s="4">
        <v>0</v>
      </c>
      <c r="AA17" s="5">
        <v>-9.6223604881157304E-2</v>
      </c>
      <c r="AB17" s="5">
        <v>6.5306922367640893E-2</v>
      </c>
      <c r="AC17" s="5">
        <v>8.4802499184241598E-2</v>
      </c>
      <c r="AD17" s="5">
        <v>-6.5306922367640893E-2</v>
      </c>
      <c r="AE17" s="5">
        <v>9.6223604881157304E-2</v>
      </c>
      <c r="AF17" s="5">
        <v>-8.4802499184241598E-2</v>
      </c>
    </row>
    <row r="18" spans="2:32" x14ac:dyDescent="0.2">
      <c r="B18" s="4">
        <v>2025</v>
      </c>
      <c r="C18" s="4">
        <v>11</v>
      </c>
      <c r="D18" s="4" t="s">
        <v>23</v>
      </c>
      <c r="E18" s="4" t="s">
        <v>44</v>
      </c>
      <c r="F18" s="8">
        <v>0.48029549958302498</v>
      </c>
      <c r="G18" s="4">
        <v>108</v>
      </c>
      <c r="H18" s="8">
        <v>0.51970450041697402</v>
      </c>
      <c r="I18" s="4">
        <v>-108</v>
      </c>
      <c r="J18" s="4" t="s">
        <v>44</v>
      </c>
      <c r="K18" s="4" t="s">
        <v>44</v>
      </c>
      <c r="L18" s="4">
        <v>1</v>
      </c>
      <c r="M18" s="15">
        <v>23.5460269119096</v>
      </c>
      <c r="N18" s="15">
        <v>23.679698239809099</v>
      </c>
      <c r="O18" s="4">
        <v>-3.5</v>
      </c>
      <c r="P18" s="9">
        <v>-0.13367132789944899</v>
      </c>
      <c r="Q18" s="4" t="s">
        <v>139</v>
      </c>
      <c r="R18" s="4">
        <v>-19</v>
      </c>
      <c r="S18" s="4" t="s">
        <v>138</v>
      </c>
      <c r="T18" s="4">
        <v>0</v>
      </c>
      <c r="U18" s="4">
        <v>48.5</v>
      </c>
      <c r="V18" s="9">
        <v>47.225725151718798</v>
      </c>
      <c r="W18" s="4" t="s">
        <v>141</v>
      </c>
      <c r="X18" s="4">
        <v>63</v>
      </c>
      <c r="Y18" s="4" t="s">
        <v>140</v>
      </c>
      <c r="Z18" s="4">
        <v>0</v>
      </c>
      <c r="AA18" s="5">
        <v>-6.7925453186035102E-4</v>
      </c>
      <c r="AB18" s="5">
        <v>-0.21416486478319299</v>
      </c>
      <c r="AC18" s="5">
        <v>-0.416832685470581</v>
      </c>
      <c r="AD18" s="5">
        <v>0.21416486478319299</v>
      </c>
      <c r="AE18" s="5">
        <v>6.7925453186035102E-4</v>
      </c>
      <c r="AF18" s="5">
        <v>0.416832685470581</v>
      </c>
    </row>
    <row r="19" spans="2:32" x14ac:dyDescent="0.2">
      <c r="B19" s="4">
        <v>2025</v>
      </c>
      <c r="C19" s="4">
        <v>11</v>
      </c>
      <c r="D19" s="4" t="s">
        <v>17</v>
      </c>
      <c r="E19" s="4" t="s">
        <v>26</v>
      </c>
      <c r="F19" s="8">
        <v>0.58877447100980296</v>
      </c>
      <c r="G19" s="4">
        <v>-143</v>
      </c>
      <c r="H19" s="8">
        <v>0.41122552899019599</v>
      </c>
      <c r="I19" s="4">
        <v>143</v>
      </c>
      <c r="J19" s="4" t="s">
        <v>17</v>
      </c>
      <c r="K19" s="4" t="s">
        <v>17</v>
      </c>
      <c r="L19" s="4">
        <v>1</v>
      </c>
      <c r="M19" s="15">
        <v>26.636650654575</v>
      </c>
      <c r="N19" s="15">
        <v>21.599354552105702</v>
      </c>
      <c r="O19" s="4">
        <v>3</v>
      </c>
      <c r="P19" s="15">
        <v>5.0372961024693401</v>
      </c>
      <c r="Q19" s="4" t="s">
        <v>139</v>
      </c>
      <c r="R19" s="4">
        <v>2</v>
      </c>
      <c r="S19" s="4" t="s">
        <v>138</v>
      </c>
      <c r="T19" s="4">
        <v>0</v>
      </c>
      <c r="U19" s="4">
        <v>49.5</v>
      </c>
      <c r="V19" s="9">
        <v>48.236005206680801</v>
      </c>
      <c r="W19" s="4" t="s">
        <v>141</v>
      </c>
      <c r="X19" s="4">
        <v>40</v>
      </c>
      <c r="Y19" s="4" t="s">
        <v>141</v>
      </c>
      <c r="Z19" s="4">
        <v>1</v>
      </c>
      <c r="AA19" s="5">
        <v>-0.19401060366163</v>
      </c>
      <c r="AB19" s="5">
        <v>0.18993500300816099</v>
      </c>
      <c r="AC19" s="5">
        <v>-0.175483721953171</v>
      </c>
      <c r="AD19" s="5">
        <v>-0.18993500300816099</v>
      </c>
      <c r="AE19" s="5">
        <v>0.19401060366163</v>
      </c>
      <c r="AF19" s="5">
        <v>0.175483721953171</v>
      </c>
    </row>
    <row r="20" spans="2:32" x14ac:dyDescent="0.2">
      <c r="B20" s="4">
        <v>2025</v>
      </c>
      <c r="C20" s="4">
        <v>11</v>
      </c>
      <c r="D20" s="4" t="s">
        <v>35</v>
      </c>
      <c r="E20" s="4" t="s">
        <v>16</v>
      </c>
      <c r="F20" s="8">
        <v>0.28322851812321898</v>
      </c>
      <c r="G20" s="4">
        <v>253</v>
      </c>
      <c r="H20" s="8">
        <v>0.71677148187677997</v>
      </c>
      <c r="I20" s="4">
        <v>-253</v>
      </c>
      <c r="J20" s="4" t="s">
        <v>16</v>
      </c>
      <c r="K20" s="4" t="s">
        <v>16</v>
      </c>
      <c r="L20" s="4">
        <v>1</v>
      </c>
      <c r="M20" s="15">
        <v>17.436788796091601</v>
      </c>
      <c r="N20" s="15">
        <v>24.534226908186799</v>
      </c>
      <c r="O20" s="4">
        <v>-7.5</v>
      </c>
      <c r="P20" s="9">
        <v>-7.0974381120952499</v>
      </c>
      <c r="Q20" s="4" t="s">
        <v>139</v>
      </c>
      <c r="R20" s="4">
        <v>-7</v>
      </c>
      <c r="S20" s="4" t="s">
        <v>139</v>
      </c>
      <c r="T20" s="4">
        <v>1</v>
      </c>
      <c r="U20" s="4">
        <v>37.5</v>
      </c>
      <c r="V20" s="9">
        <v>41.9710157042784</v>
      </c>
      <c r="W20" s="4" t="s">
        <v>140</v>
      </c>
      <c r="X20" s="4">
        <v>39</v>
      </c>
      <c r="Y20" s="4" t="s">
        <v>140</v>
      </c>
      <c r="Z20" s="4">
        <v>1</v>
      </c>
      <c r="AA20" s="5">
        <v>-0.43516581399100102</v>
      </c>
      <c r="AB20" s="5">
        <v>0.116594621690653</v>
      </c>
      <c r="AC20" s="5">
        <v>0.23310183684031099</v>
      </c>
      <c r="AD20" s="5">
        <v>-0.116594621690653</v>
      </c>
      <c r="AE20" s="5">
        <v>0.43516581399100102</v>
      </c>
      <c r="AF20" s="5">
        <v>-0.23310183684031099</v>
      </c>
    </row>
    <row r="21" spans="2:32" x14ac:dyDescent="0.2">
      <c r="B21" s="4">
        <v>2025</v>
      </c>
      <c r="C21" s="4">
        <v>11</v>
      </c>
      <c r="D21" s="4" t="s">
        <v>14</v>
      </c>
      <c r="E21" s="4" t="s">
        <v>46</v>
      </c>
      <c r="F21" s="8">
        <v>0.40480936629816</v>
      </c>
      <c r="G21" s="4">
        <v>147</v>
      </c>
      <c r="H21" s="8">
        <v>0.595190633701839</v>
      </c>
      <c r="I21" s="4">
        <v>-147</v>
      </c>
      <c r="J21" s="4" t="s">
        <v>46</v>
      </c>
      <c r="K21" s="4" t="s">
        <v>14</v>
      </c>
      <c r="L21" s="4">
        <v>0</v>
      </c>
      <c r="M21" s="15">
        <v>22.6543664620873</v>
      </c>
      <c r="N21" s="15">
        <v>24.6041641641167</v>
      </c>
      <c r="O21" s="4">
        <v>-3.5</v>
      </c>
      <c r="P21" s="9">
        <v>-1.94979770202932</v>
      </c>
      <c r="Q21" s="4" t="s">
        <v>139</v>
      </c>
      <c r="R21" s="4">
        <v>3</v>
      </c>
      <c r="S21" s="4" t="s">
        <v>139</v>
      </c>
      <c r="T21" s="4">
        <v>1</v>
      </c>
      <c r="U21" s="4">
        <v>44.5</v>
      </c>
      <c r="V21" s="9">
        <v>47.258530626204099</v>
      </c>
      <c r="W21" s="4" t="s">
        <v>140</v>
      </c>
      <c r="X21" s="4">
        <v>41</v>
      </c>
      <c r="Y21" s="4" t="s">
        <v>141</v>
      </c>
      <c r="Z21" s="4">
        <v>0</v>
      </c>
      <c r="AA21" s="5">
        <v>1.51521143366078E-2</v>
      </c>
      <c r="AB21" s="5">
        <v>-0.118582398550851</v>
      </c>
      <c r="AC21" s="5">
        <v>0.34246703674053303</v>
      </c>
      <c r="AD21" s="5">
        <v>0.118582398550851</v>
      </c>
      <c r="AE21" s="5">
        <v>-1.51521143366078E-2</v>
      </c>
      <c r="AF21" s="5">
        <v>-0.34246703674053303</v>
      </c>
    </row>
    <row r="22" spans="2:32" x14ac:dyDescent="0.2">
      <c r="B22" s="4">
        <v>2025</v>
      </c>
      <c r="C22" s="4">
        <v>11</v>
      </c>
      <c r="D22" s="4" t="s">
        <v>11</v>
      </c>
      <c r="E22" s="4" t="s">
        <v>47</v>
      </c>
      <c r="F22" s="8">
        <v>0.444595963088533</v>
      </c>
      <c r="G22" s="4">
        <v>124</v>
      </c>
      <c r="H22" s="8">
        <v>0.555404036911466</v>
      </c>
      <c r="I22" s="4">
        <v>-124</v>
      </c>
      <c r="J22" s="4" t="s">
        <v>47</v>
      </c>
      <c r="K22" s="4" t="s">
        <v>11</v>
      </c>
      <c r="L22" s="4">
        <v>0</v>
      </c>
      <c r="M22" s="9">
        <v>24.278904466257298</v>
      </c>
      <c r="N22" s="15">
        <v>25.478571757188501</v>
      </c>
      <c r="O22" s="4">
        <v>2.5</v>
      </c>
      <c r="P22" s="9">
        <v>-1.19966729093128</v>
      </c>
      <c r="Q22" s="4" t="s">
        <v>138</v>
      </c>
      <c r="R22" s="4">
        <v>7</v>
      </c>
      <c r="S22" s="4" t="s">
        <v>139</v>
      </c>
      <c r="T22" s="4">
        <v>0</v>
      </c>
      <c r="U22" s="4">
        <v>46.5</v>
      </c>
      <c r="V22" s="9">
        <v>49.757476223445799</v>
      </c>
      <c r="W22" s="4" t="s">
        <v>140</v>
      </c>
      <c r="X22" s="4">
        <v>25</v>
      </c>
      <c r="Y22" s="4" t="s">
        <v>141</v>
      </c>
      <c r="Z22" s="4">
        <v>0</v>
      </c>
      <c r="AA22" s="5">
        <v>-0.19118155895824099</v>
      </c>
      <c r="AB22" s="5">
        <v>0.40076452998791701</v>
      </c>
      <c r="AC22" s="5">
        <v>2.6905689239501901E-2</v>
      </c>
      <c r="AD22" s="5">
        <v>-0.40076452998791701</v>
      </c>
      <c r="AE22" s="5">
        <v>0.19118155895824099</v>
      </c>
      <c r="AF22" s="5">
        <v>-2.6905689239501901E-2</v>
      </c>
    </row>
    <row r="23" spans="2:32" x14ac:dyDescent="0.2">
      <c r="B23" s="4">
        <v>2025</v>
      </c>
      <c r="C23" s="4">
        <v>11</v>
      </c>
      <c r="D23" s="4" t="s">
        <v>37</v>
      </c>
      <c r="E23" s="4" t="s">
        <v>20</v>
      </c>
      <c r="F23" s="8">
        <v>0.33113715604525801</v>
      </c>
      <c r="G23" s="4">
        <v>201</v>
      </c>
      <c r="H23" s="8">
        <v>0.66886284395474105</v>
      </c>
      <c r="I23" s="4">
        <v>-201</v>
      </c>
      <c r="J23" s="4" t="s">
        <v>20</v>
      </c>
      <c r="K23" s="4" t="s">
        <v>20</v>
      </c>
      <c r="L23" s="4">
        <v>1</v>
      </c>
      <c r="M23" s="15">
        <v>20.948298363695201</v>
      </c>
      <c r="N23" s="15">
        <v>24.5161461669739</v>
      </c>
      <c r="O23" s="4">
        <v>-3.5</v>
      </c>
      <c r="P23" s="9">
        <v>-3.5678478032787502</v>
      </c>
      <c r="Q23" s="4" t="s">
        <v>138</v>
      </c>
      <c r="R23" s="4">
        <v>-17</v>
      </c>
      <c r="S23" s="4" t="s">
        <v>138</v>
      </c>
      <c r="T23" s="4">
        <v>1</v>
      </c>
      <c r="U23" s="4">
        <v>48.5</v>
      </c>
      <c r="V23" s="9">
        <v>45.464444530669198</v>
      </c>
      <c r="W23" s="4" t="s">
        <v>141</v>
      </c>
      <c r="X23" s="4">
        <v>49</v>
      </c>
      <c r="Y23" s="4" t="s">
        <v>140</v>
      </c>
      <c r="Z23" s="4">
        <v>0</v>
      </c>
      <c r="AA23" s="5">
        <v>-0.198562298790883</v>
      </c>
      <c r="AB23" s="5">
        <v>-0.16860405091316399</v>
      </c>
      <c r="AC23" s="5">
        <v>-0.106098308563232</v>
      </c>
      <c r="AD23" s="5">
        <v>0.16860405091316399</v>
      </c>
      <c r="AE23" s="5">
        <v>0.198562298790883</v>
      </c>
      <c r="AF23" s="5">
        <v>0.106098308563232</v>
      </c>
    </row>
  </sheetData>
  <mergeCells count="6">
    <mergeCell ref="F7:L7"/>
    <mergeCell ref="U7:Z7"/>
    <mergeCell ref="M7:N7"/>
    <mergeCell ref="AA7:AC7"/>
    <mergeCell ref="AD7:AF7"/>
    <mergeCell ref="O7:T7"/>
  </mergeCells>
  <conditionalFormatting sqref="AA9:AA23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9:AB2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9:AC2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9:AD2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9:AE2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9:AF2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AB70F62D-5A47-9249-A30A-628DFA592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L9:L23</xm:sqref>
        </x14:conditionalFormatting>
        <x14:conditionalFormatting xmlns:xm="http://schemas.microsoft.com/office/excel/2006/main">
          <x14:cfRule type="iconSet" priority="8" id="{10E8D185-243D-CF4C-934B-E57B4E081D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T9:T23</xm:sqref>
        </x14:conditionalFormatting>
        <x14:conditionalFormatting xmlns:xm="http://schemas.microsoft.com/office/excel/2006/main">
          <x14:cfRule type="iconSet" priority="7" id="{65649503-69D2-A44E-94B0-1B39E683DF5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Z9:Z23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B967-3FE3-EE4E-A104-AA63F82E9BED}">
  <dimension ref="B2:AH22"/>
  <sheetViews>
    <sheetView showGridLines="0" workbookViewId="0">
      <selection activeCell="M15" sqref="M15"/>
    </sheetView>
  </sheetViews>
  <sheetFormatPr baseColWidth="10" defaultRowHeight="15" x14ac:dyDescent="0.2"/>
  <cols>
    <col min="2" max="3" width="9.5" customWidth="1"/>
    <col min="4" max="4" width="10.5" bestFit="1" customWidth="1"/>
    <col min="5" max="5" width="9.83203125" bestFit="1" customWidth="1"/>
    <col min="6" max="6" width="10.6640625" bestFit="1" customWidth="1"/>
    <col min="7" max="7" width="9.83203125" customWidth="1"/>
    <col min="8" max="8" width="10.1640625" customWidth="1"/>
    <col min="9" max="9" width="13.33203125" customWidth="1"/>
    <col min="10" max="10" width="9.5" customWidth="1"/>
    <col min="11" max="11" width="12.6640625" customWidth="1"/>
    <col min="12" max="12" width="4.83203125" customWidth="1"/>
    <col min="13" max="13" width="6.6640625" customWidth="1"/>
    <col min="14" max="14" width="14" customWidth="1"/>
    <col min="15" max="16" width="11.6640625" customWidth="1"/>
    <col min="17" max="17" width="10.1640625" bestFit="1" customWidth="1"/>
    <col min="18" max="18" width="10.83203125" bestFit="1" customWidth="1"/>
    <col min="19" max="19" width="10.33203125" bestFit="1" customWidth="1"/>
    <col min="20" max="20" width="5.6640625" bestFit="1" customWidth="1"/>
    <col min="21" max="21" width="11.6640625" bestFit="1" customWidth="1"/>
    <col min="22" max="22" width="13.6640625" bestFit="1" customWidth="1"/>
    <col min="23" max="23" width="8.6640625" bestFit="1" customWidth="1"/>
    <col min="24" max="24" width="9.33203125" bestFit="1" customWidth="1"/>
    <col min="25" max="25" width="8.83203125" bestFit="1" customWidth="1"/>
    <col min="26" max="26" width="4.83203125" bestFit="1" customWidth="1"/>
    <col min="27" max="27" width="10.1640625" bestFit="1" customWidth="1"/>
    <col min="28" max="28" width="12.1640625" bestFit="1" customWidth="1"/>
    <col min="29" max="30" width="10.1640625" bestFit="1" customWidth="1"/>
    <col min="31" max="31" width="10.6640625" bestFit="1" customWidth="1"/>
    <col min="32" max="33" width="10.1640625" bestFit="1" customWidth="1"/>
    <col min="34" max="34" width="10.6640625" bestFit="1" customWidth="1"/>
  </cols>
  <sheetData>
    <row r="2" spans="2:34" x14ac:dyDescent="0.2">
      <c r="B2" s="7" t="s">
        <v>63</v>
      </c>
      <c r="C2" s="13">
        <f>COUNTA(C9:C22)</f>
        <v>14</v>
      </c>
    </row>
    <row r="3" spans="2:34" x14ac:dyDescent="0.2">
      <c r="B3" s="7" t="s">
        <v>145</v>
      </c>
      <c r="C3" s="13">
        <f>SUM(N9:N22)</f>
        <v>10</v>
      </c>
      <c r="D3" s="14">
        <f>C3/$C$2</f>
        <v>0.7142857142857143</v>
      </c>
    </row>
    <row r="4" spans="2:34" x14ac:dyDescent="0.2">
      <c r="B4" s="7" t="s">
        <v>146</v>
      </c>
      <c r="C4" s="13">
        <f>SUM(V9:V22)</f>
        <v>8</v>
      </c>
      <c r="D4" s="14">
        <f t="shared" ref="D4:D5" si="0">C4/$C$2</f>
        <v>0.5714285714285714</v>
      </c>
    </row>
    <row r="5" spans="2:34" x14ac:dyDescent="0.2">
      <c r="B5" s="7" t="s">
        <v>147</v>
      </c>
      <c r="C5" s="13">
        <f>SUM(AB9:AB22)</f>
        <v>7</v>
      </c>
      <c r="D5" s="14">
        <f t="shared" si="0"/>
        <v>0.5</v>
      </c>
    </row>
    <row r="6" spans="2:34" x14ac:dyDescent="0.2">
      <c r="C6" s="6"/>
    </row>
    <row r="7" spans="2:34" x14ac:dyDescent="0.2">
      <c r="H7" s="20" t="s">
        <v>142</v>
      </c>
      <c r="I7" s="20"/>
      <c r="J7" s="20"/>
      <c r="K7" s="20"/>
      <c r="L7" s="20"/>
      <c r="M7" s="20"/>
      <c r="N7" s="20"/>
      <c r="O7" s="20" t="s">
        <v>149</v>
      </c>
      <c r="P7" s="20"/>
      <c r="Q7" s="20" t="s">
        <v>143</v>
      </c>
      <c r="R7" s="20"/>
      <c r="S7" s="20"/>
      <c r="T7" s="20"/>
      <c r="U7" s="20"/>
      <c r="V7" s="20"/>
      <c r="W7" s="20" t="s">
        <v>144</v>
      </c>
      <c r="X7" s="20"/>
      <c r="Y7" s="20"/>
      <c r="Z7" s="20"/>
      <c r="AA7" s="20"/>
      <c r="AB7" s="20"/>
      <c r="AC7" s="20" t="s">
        <v>55</v>
      </c>
      <c r="AD7" s="20"/>
      <c r="AE7" s="20"/>
      <c r="AF7" s="20" t="s">
        <v>56</v>
      </c>
      <c r="AG7" s="20"/>
      <c r="AH7" s="20"/>
    </row>
    <row r="8" spans="2:34" x14ac:dyDescent="0.2">
      <c r="B8" s="1" t="s">
        <v>0</v>
      </c>
      <c r="C8" s="1" t="s">
        <v>1</v>
      </c>
      <c r="D8" s="1" t="s">
        <v>2</v>
      </c>
      <c r="E8" s="1" t="s">
        <v>3</v>
      </c>
      <c r="F8" s="1" t="s">
        <v>151</v>
      </c>
      <c r="G8" s="1" t="s">
        <v>152</v>
      </c>
      <c r="H8" s="1" t="s">
        <v>4</v>
      </c>
      <c r="I8" s="1" t="s">
        <v>7</v>
      </c>
      <c r="J8" s="1" t="s">
        <v>5</v>
      </c>
      <c r="K8" s="1" t="s">
        <v>8</v>
      </c>
      <c r="L8" s="1" t="s">
        <v>6</v>
      </c>
      <c r="M8" s="1" t="s">
        <v>9</v>
      </c>
      <c r="N8" s="1" t="s">
        <v>129</v>
      </c>
      <c r="O8" s="1" t="s">
        <v>139</v>
      </c>
      <c r="P8" s="1" t="s">
        <v>138</v>
      </c>
      <c r="Q8" s="1" t="s">
        <v>126</v>
      </c>
      <c r="R8" s="1" t="s">
        <v>127</v>
      </c>
      <c r="S8" s="1" t="s">
        <v>130</v>
      </c>
      <c r="T8" s="1" t="s">
        <v>131</v>
      </c>
      <c r="U8" s="1" t="s">
        <v>132</v>
      </c>
      <c r="V8" s="1" t="s">
        <v>133</v>
      </c>
      <c r="W8" s="1" t="s">
        <v>128</v>
      </c>
      <c r="X8" s="1" t="s">
        <v>148</v>
      </c>
      <c r="Y8" s="1" t="s">
        <v>134</v>
      </c>
      <c r="Z8" s="1" t="s">
        <v>135</v>
      </c>
      <c r="AA8" s="1" t="s">
        <v>136</v>
      </c>
      <c r="AB8" s="1" t="s">
        <v>137</v>
      </c>
      <c r="AC8" s="1" t="s">
        <v>57</v>
      </c>
      <c r="AD8" s="1" t="s">
        <v>58</v>
      </c>
      <c r="AE8" s="1" t="s">
        <v>59</v>
      </c>
      <c r="AF8" s="1" t="s">
        <v>57</v>
      </c>
      <c r="AG8" s="1" t="s">
        <v>58</v>
      </c>
      <c r="AH8" s="1" t="s">
        <v>59</v>
      </c>
    </row>
    <row r="9" spans="2:34" x14ac:dyDescent="0.2">
      <c r="B9" s="4">
        <v>2025</v>
      </c>
      <c r="C9" s="4">
        <v>12</v>
      </c>
      <c r="D9" s="4" t="s">
        <v>85</v>
      </c>
      <c r="E9" s="4" t="s">
        <v>50</v>
      </c>
      <c r="F9" s="4">
        <v>23</v>
      </c>
      <c r="G9" s="4">
        <v>19</v>
      </c>
      <c r="H9" s="8">
        <v>0.41641097241429398</v>
      </c>
      <c r="I9" s="4" t="s">
        <v>74</v>
      </c>
      <c r="J9" s="8">
        <v>0.58358902758570608</v>
      </c>
      <c r="K9" s="4" t="s">
        <v>153</v>
      </c>
      <c r="L9" s="4" t="s">
        <v>50</v>
      </c>
      <c r="M9" s="4" t="s">
        <v>85</v>
      </c>
      <c r="N9" s="4">
        <v>0</v>
      </c>
      <c r="O9" s="15">
        <v>22.31079559313196</v>
      </c>
      <c r="P9" s="15">
        <v>26.779230310021202</v>
      </c>
      <c r="Q9" s="4">
        <v>-5.5</v>
      </c>
      <c r="R9" s="15">
        <v>-4.4684347168892344</v>
      </c>
      <c r="S9" s="4" t="s">
        <v>139</v>
      </c>
      <c r="T9" s="4">
        <v>4</v>
      </c>
      <c r="U9" s="4" t="s">
        <v>139</v>
      </c>
      <c r="V9" s="4">
        <v>1</v>
      </c>
      <c r="W9" s="4">
        <v>43.5</v>
      </c>
      <c r="X9" s="9">
        <v>49.090025903153162</v>
      </c>
      <c r="Y9" s="4" t="s">
        <v>140</v>
      </c>
      <c r="Z9" s="4">
        <v>42</v>
      </c>
      <c r="AA9" s="4" t="s">
        <v>141</v>
      </c>
      <c r="AB9" s="4">
        <v>0</v>
      </c>
      <c r="AC9" s="5">
        <v>-7.726630671270962E-2</v>
      </c>
      <c r="AD9" s="5">
        <v>0.16421366471510671</v>
      </c>
      <c r="AE9" s="5">
        <v>-9.2399334085398702E-2</v>
      </c>
      <c r="AF9" s="5">
        <v>-0.16421366471510671</v>
      </c>
      <c r="AG9" s="5">
        <v>7.726630671270962E-2</v>
      </c>
      <c r="AH9" s="5">
        <v>9.2399334085398702E-2</v>
      </c>
    </row>
    <row r="10" spans="2:34" x14ac:dyDescent="0.2">
      <c r="B10" s="4">
        <v>2025</v>
      </c>
      <c r="C10" s="4">
        <v>12</v>
      </c>
      <c r="D10" s="4" t="s">
        <v>16</v>
      </c>
      <c r="E10" s="4" t="s">
        <v>13</v>
      </c>
      <c r="F10" s="4">
        <v>23</v>
      </c>
      <c r="G10" s="4">
        <v>10</v>
      </c>
      <c r="H10" s="8">
        <v>0.68542228297745511</v>
      </c>
      <c r="I10" s="4" t="s">
        <v>154</v>
      </c>
      <c r="J10" s="8">
        <v>0.31457771702254489</v>
      </c>
      <c r="K10" s="4" t="s">
        <v>155</v>
      </c>
      <c r="L10" s="4" t="s">
        <v>16</v>
      </c>
      <c r="M10" s="4" t="s">
        <v>16</v>
      </c>
      <c r="N10" s="4">
        <v>1</v>
      </c>
      <c r="O10" s="15">
        <v>25.833018406554871</v>
      </c>
      <c r="P10" s="15">
        <v>17.239147898473551</v>
      </c>
      <c r="Q10" s="4">
        <v>14</v>
      </c>
      <c r="R10" s="15">
        <v>8.5938705080813129</v>
      </c>
      <c r="S10" s="4" t="s">
        <v>138</v>
      </c>
      <c r="T10" s="4">
        <v>13</v>
      </c>
      <c r="U10" s="4" t="s">
        <v>138</v>
      </c>
      <c r="V10" s="4">
        <v>1</v>
      </c>
      <c r="W10" s="4">
        <v>44.5</v>
      </c>
      <c r="X10" s="9">
        <v>43.072166305028418</v>
      </c>
      <c r="Y10" s="4" t="s">
        <v>141</v>
      </c>
      <c r="Z10" s="4">
        <v>33</v>
      </c>
      <c r="AA10" s="4" t="s">
        <v>141</v>
      </c>
      <c r="AB10" s="4">
        <v>1</v>
      </c>
      <c r="AC10" s="5">
        <v>5.5789142358498488E-2</v>
      </c>
      <c r="AD10" s="5">
        <v>0.19996630135229079</v>
      </c>
      <c r="AE10" s="5">
        <v>-1.7604619264602661E-2</v>
      </c>
      <c r="AF10" s="5">
        <v>-0.19996630135229079</v>
      </c>
      <c r="AG10" s="5">
        <v>-5.5789142358498488E-2</v>
      </c>
      <c r="AH10" s="5">
        <v>1.7604619264602661E-2</v>
      </c>
    </row>
    <row r="11" spans="2:34" x14ac:dyDescent="0.2">
      <c r="B11" s="4">
        <v>2025</v>
      </c>
      <c r="C11" s="4">
        <v>12</v>
      </c>
      <c r="D11" s="4" t="s">
        <v>53</v>
      </c>
      <c r="E11" s="4" t="s">
        <v>34</v>
      </c>
      <c r="F11" s="4">
        <v>31</v>
      </c>
      <c r="G11" s="4">
        <v>28</v>
      </c>
      <c r="H11" s="8">
        <v>0.57957287824891268</v>
      </c>
      <c r="I11" s="4" t="s">
        <v>156</v>
      </c>
      <c r="J11" s="8">
        <v>0.42042712175108732</v>
      </c>
      <c r="K11" s="4" t="s">
        <v>157</v>
      </c>
      <c r="L11" s="4" t="s">
        <v>53</v>
      </c>
      <c r="M11" s="4" t="s">
        <v>53</v>
      </c>
      <c r="N11" s="4">
        <v>1</v>
      </c>
      <c r="O11" s="15">
        <v>25.38450478511956</v>
      </c>
      <c r="P11" s="15">
        <v>23.313586972975418</v>
      </c>
      <c r="Q11" s="4">
        <v>3</v>
      </c>
      <c r="R11" s="9">
        <v>2.0709178121441418</v>
      </c>
      <c r="S11" s="4" t="s">
        <v>138</v>
      </c>
      <c r="T11" s="4">
        <v>3</v>
      </c>
      <c r="U11" s="4" t="s">
        <v>138</v>
      </c>
      <c r="V11" s="4">
        <v>1</v>
      </c>
      <c r="W11" s="4">
        <v>46.5</v>
      </c>
      <c r="X11" s="9">
        <v>48.698091758094982</v>
      </c>
      <c r="Y11" s="4" t="s">
        <v>140</v>
      </c>
      <c r="Z11" s="4">
        <v>59</v>
      </c>
      <c r="AA11" s="4" t="s">
        <v>140</v>
      </c>
      <c r="AB11" s="4">
        <v>1</v>
      </c>
      <c r="AC11" s="5">
        <v>1.1751021657671249E-2</v>
      </c>
      <c r="AD11" s="5">
        <v>-4.8218843009736813E-2</v>
      </c>
      <c r="AE11" s="5">
        <v>0.1270280617934007</v>
      </c>
      <c r="AF11" s="5">
        <v>4.8218843009736813E-2</v>
      </c>
      <c r="AG11" s="5">
        <v>-1.1751021657671249E-2</v>
      </c>
      <c r="AH11" s="5">
        <v>-0.1270280617934007</v>
      </c>
    </row>
    <row r="12" spans="2:34" x14ac:dyDescent="0.2">
      <c r="B12" s="4">
        <v>2025</v>
      </c>
      <c r="C12" s="4">
        <v>12</v>
      </c>
      <c r="D12" s="4" t="s">
        <v>41</v>
      </c>
      <c r="E12" s="4" t="s">
        <v>32</v>
      </c>
      <c r="F12" s="4">
        <v>20</v>
      </c>
      <c r="G12" s="4">
        <v>26</v>
      </c>
      <c r="H12" s="8">
        <v>0.35067814057087943</v>
      </c>
      <c r="I12" s="4" t="s">
        <v>158</v>
      </c>
      <c r="J12" s="8">
        <v>0.64932185942912057</v>
      </c>
      <c r="K12" s="4" t="s">
        <v>159</v>
      </c>
      <c r="L12" s="4" t="s">
        <v>32</v>
      </c>
      <c r="M12" s="4" t="s">
        <v>32</v>
      </c>
      <c r="N12" s="4">
        <v>1</v>
      </c>
      <c r="O12" s="15">
        <v>23.468713934822361</v>
      </c>
      <c r="P12" s="15">
        <v>26.734600879836041</v>
      </c>
      <c r="Q12" s="4">
        <v>-7.5</v>
      </c>
      <c r="R12" s="9">
        <v>-3.2658869450136829</v>
      </c>
      <c r="S12" s="4" t="s">
        <v>139</v>
      </c>
      <c r="T12" s="4">
        <v>-6</v>
      </c>
      <c r="U12" s="4" t="s">
        <v>139</v>
      </c>
      <c r="V12" s="4">
        <v>1</v>
      </c>
      <c r="W12" s="4">
        <v>50.5</v>
      </c>
      <c r="X12" s="9">
        <v>50.203314814658398</v>
      </c>
      <c r="Y12" s="4" t="s">
        <v>141</v>
      </c>
      <c r="Z12" s="4">
        <v>46</v>
      </c>
      <c r="AA12" s="4" t="s">
        <v>141</v>
      </c>
      <c r="AB12" s="4">
        <v>1</v>
      </c>
      <c r="AC12" s="5">
        <v>-0.1750253192962162</v>
      </c>
      <c r="AD12" s="5">
        <v>-2.2934188161577499E-2</v>
      </c>
      <c r="AE12" s="5">
        <v>1.9687260900224959E-2</v>
      </c>
      <c r="AF12" s="5">
        <v>2.2934188161577499E-2</v>
      </c>
      <c r="AG12" s="5">
        <v>0.1750253192962162</v>
      </c>
      <c r="AH12" s="5">
        <v>-1.9687260900224959E-2</v>
      </c>
    </row>
    <row r="13" spans="2:34" x14ac:dyDescent="0.2">
      <c r="B13" s="4">
        <v>2025</v>
      </c>
      <c r="C13" s="4">
        <v>12</v>
      </c>
      <c r="D13" s="4" t="s">
        <v>47</v>
      </c>
      <c r="E13" s="4" t="s">
        <v>10</v>
      </c>
      <c r="F13" s="4">
        <v>34</v>
      </c>
      <c r="G13" s="4">
        <v>27</v>
      </c>
      <c r="H13" s="8">
        <v>0.70151946210143667</v>
      </c>
      <c r="I13" s="4" t="s">
        <v>160</v>
      </c>
      <c r="J13" s="8">
        <v>0.29848053789856333</v>
      </c>
      <c r="K13" s="4" t="s">
        <v>161</v>
      </c>
      <c r="L13" s="4" t="s">
        <v>47</v>
      </c>
      <c r="M13" s="4" t="s">
        <v>47</v>
      </c>
      <c r="N13" s="4">
        <v>1</v>
      </c>
      <c r="O13" s="15">
        <v>29.019062174586939</v>
      </c>
      <c r="P13" s="15">
        <v>20.794064457531359</v>
      </c>
      <c r="Q13" s="4">
        <v>14</v>
      </c>
      <c r="R13" s="9">
        <v>8.224997717055583</v>
      </c>
      <c r="S13" s="4" t="s">
        <v>138</v>
      </c>
      <c r="T13" s="4">
        <v>7</v>
      </c>
      <c r="U13" s="4" t="s">
        <v>138</v>
      </c>
      <c r="V13" s="4">
        <v>1</v>
      </c>
      <c r="W13" s="4">
        <v>50.5</v>
      </c>
      <c r="X13" s="9">
        <v>49.813126632118298</v>
      </c>
      <c r="Y13" s="4" t="s">
        <v>141</v>
      </c>
      <c r="Z13" s="4">
        <v>61</v>
      </c>
      <c r="AA13" s="4" t="s">
        <v>140</v>
      </c>
      <c r="AB13" s="4">
        <v>0</v>
      </c>
      <c r="AC13" s="5">
        <v>0.1546184482859142</v>
      </c>
      <c r="AD13" s="5">
        <v>-0.14523477907533999</v>
      </c>
      <c r="AE13" s="5">
        <v>0.13269214145839209</v>
      </c>
      <c r="AF13" s="5">
        <v>0.14523477907533999</v>
      </c>
      <c r="AG13" s="5">
        <v>-0.1546184482859142</v>
      </c>
      <c r="AH13" s="5">
        <v>-0.13269214145839209</v>
      </c>
    </row>
    <row r="14" spans="2:34" x14ac:dyDescent="0.2">
      <c r="B14" s="4">
        <v>2025</v>
      </c>
      <c r="C14" s="4">
        <v>12</v>
      </c>
      <c r="D14" s="4" t="s">
        <v>40</v>
      </c>
      <c r="E14" s="4" t="s">
        <v>77</v>
      </c>
      <c r="F14" s="4">
        <v>23</v>
      </c>
      <c r="G14" s="4">
        <v>6</v>
      </c>
      <c r="H14" s="8">
        <v>0.67902861180136675</v>
      </c>
      <c r="I14" s="4" t="s">
        <v>162</v>
      </c>
      <c r="J14" s="8">
        <v>0.32097138819863319</v>
      </c>
      <c r="K14" s="4" t="s">
        <v>163</v>
      </c>
      <c r="L14" s="4" t="s">
        <v>40</v>
      </c>
      <c r="M14" s="4" t="s">
        <v>40</v>
      </c>
      <c r="N14" s="4">
        <v>1</v>
      </c>
      <c r="O14" s="15">
        <v>23.214138633730428</v>
      </c>
      <c r="P14" s="15">
        <v>20.32264136590106</v>
      </c>
      <c r="Q14" s="4">
        <v>6.5</v>
      </c>
      <c r="R14" s="15">
        <v>2.8914972678293722</v>
      </c>
      <c r="S14" s="4" t="s">
        <v>138</v>
      </c>
      <c r="T14" s="4">
        <v>17</v>
      </c>
      <c r="U14" s="4" t="s">
        <v>139</v>
      </c>
      <c r="V14" s="4">
        <v>0</v>
      </c>
      <c r="W14" s="4">
        <v>41.5</v>
      </c>
      <c r="X14" s="9">
        <v>43.536779999631477</v>
      </c>
      <c r="Y14" s="4" t="s">
        <v>140</v>
      </c>
      <c r="Z14" s="4">
        <v>29</v>
      </c>
      <c r="AA14" s="4" t="s">
        <v>141</v>
      </c>
      <c r="AB14" s="4">
        <v>0</v>
      </c>
      <c r="AC14" s="5">
        <v>5.5030323565006263E-2</v>
      </c>
      <c r="AD14" s="5">
        <v>0.42938007007945672</v>
      </c>
      <c r="AE14" s="5">
        <v>4.9084961414337158E-2</v>
      </c>
      <c r="AF14" s="5">
        <v>-0.42938007007945672</v>
      </c>
      <c r="AG14" s="5">
        <v>-5.5030323565006263E-2</v>
      </c>
      <c r="AH14" s="5">
        <v>-4.9084961414337158E-2</v>
      </c>
    </row>
    <row r="15" spans="2:34" x14ac:dyDescent="0.2">
      <c r="B15" s="4">
        <v>2025</v>
      </c>
      <c r="C15" s="4">
        <v>12</v>
      </c>
      <c r="D15" s="4" t="s">
        <v>46</v>
      </c>
      <c r="E15" s="4" t="s">
        <v>22</v>
      </c>
      <c r="F15" s="4">
        <v>23</v>
      </c>
      <c r="G15" s="4">
        <v>20</v>
      </c>
      <c r="H15" s="8">
        <v>0.48672608881341473</v>
      </c>
      <c r="I15" s="4" t="s">
        <v>164</v>
      </c>
      <c r="J15" s="8">
        <v>0.51327391118658527</v>
      </c>
      <c r="K15" s="4" t="s">
        <v>165</v>
      </c>
      <c r="L15" s="4" t="s">
        <v>22</v>
      </c>
      <c r="M15" s="4" t="s">
        <v>46</v>
      </c>
      <c r="N15" s="4">
        <v>0</v>
      </c>
      <c r="O15" s="15">
        <v>23.3949538756621</v>
      </c>
      <c r="P15" s="15">
        <v>25.226612525508141</v>
      </c>
      <c r="Q15" s="4">
        <v>3.5</v>
      </c>
      <c r="R15" s="9">
        <v>-1.831658649846041</v>
      </c>
      <c r="S15" s="4" t="s">
        <v>138</v>
      </c>
      <c r="T15" s="4">
        <v>3</v>
      </c>
      <c r="U15" s="4" t="s">
        <v>138</v>
      </c>
      <c r="V15" s="4">
        <v>1</v>
      </c>
      <c r="W15" s="4">
        <v>50.5</v>
      </c>
      <c r="X15" s="9">
        <v>48.621566401170227</v>
      </c>
      <c r="Y15" s="4" t="s">
        <v>141</v>
      </c>
      <c r="Z15" s="4">
        <v>43</v>
      </c>
      <c r="AA15" s="4" t="s">
        <v>141</v>
      </c>
      <c r="AB15" s="4">
        <v>1</v>
      </c>
      <c r="AC15" s="5">
        <v>2.05093735142758E-2</v>
      </c>
      <c r="AD15" s="5">
        <v>1.8942167758941648E-2</v>
      </c>
      <c r="AE15" s="5">
        <v>-0.1278300662835439</v>
      </c>
      <c r="AF15" s="5">
        <v>-1.8942167758941648E-2</v>
      </c>
      <c r="AG15" s="5">
        <v>-2.05093735142758E-2</v>
      </c>
      <c r="AH15" s="5">
        <v>0.1278300662835439</v>
      </c>
    </row>
    <row r="16" spans="2:34" x14ac:dyDescent="0.2">
      <c r="B16" s="4">
        <v>2025</v>
      </c>
      <c r="C16" s="4">
        <v>12</v>
      </c>
      <c r="D16" s="4" t="s">
        <v>38</v>
      </c>
      <c r="E16" s="4" t="s">
        <v>26</v>
      </c>
      <c r="F16" s="4">
        <v>24</v>
      </c>
      <c r="G16" s="4">
        <v>30</v>
      </c>
      <c r="H16" s="8">
        <v>0.23620151991148361</v>
      </c>
      <c r="I16" s="4" t="s">
        <v>166</v>
      </c>
      <c r="J16" s="8">
        <v>0.76379848008851636</v>
      </c>
      <c r="K16" s="4" t="s">
        <v>167</v>
      </c>
      <c r="L16" s="4" t="s">
        <v>26</v>
      </c>
      <c r="M16" s="4" t="s">
        <v>26</v>
      </c>
      <c r="N16" s="4">
        <v>1</v>
      </c>
      <c r="O16" s="15">
        <v>17.81064543579226</v>
      </c>
      <c r="P16" s="15">
        <v>26.00382774985626</v>
      </c>
      <c r="Q16" s="4">
        <v>-12.5</v>
      </c>
      <c r="R16" s="15">
        <v>-8.1931823140639999</v>
      </c>
      <c r="S16" s="4" t="s">
        <v>139</v>
      </c>
      <c r="T16" s="4">
        <v>-6</v>
      </c>
      <c r="U16" s="4" t="s">
        <v>139</v>
      </c>
      <c r="V16" s="4">
        <v>1</v>
      </c>
      <c r="W16" s="4">
        <v>41.5</v>
      </c>
      <c r="X16" s="9">
        <v>43.814473185648517</v>
      </c>
      <c r="Y16" s="4" t="s">
        <v>140</v>
      </c>
      <c r="Z16" s="4">
        <v>54</v>
      </c>
      <c r="AA16" s="4" t="s">
        <v>140</v>
      </c>
      <c r="AB16" s="4">
        <v>1</v>
      </c>
      <c r="AC16" s="5">
        <v>-9.621105194091796E-3</v>
      </c>
      <c r="AD16" s="5">
        <v>-0.27772254132209939</v>
      </c>
      <c r="AE16" s="5">
        <v>3.3118220476003803E-2</v>
      </c>
      <c r="AF16" s="5">
        <v>0.27772254132209939</v>
      </c>
      <c r="AG16" s="5">
        <v>9.621105194091796E-3</v>
      </c>
      <c r="AH16" s="5">
        <v>-3.3118220476003803E-2</v>
      </c>
    </row>
    <row r="17" spans="2:34" x14ac:dyDescent="0.2">
      <c r="B17" s="4">
        <v>2025</v>
      </c>
      <c r="C17" s="4">
        <v>12</v>
      </c>
      <c r="D17" s="4" t="s">
        <v>23</v>
      </c>
      <c r="E17" s="4" t="s">
        <v>25</v>
      </c>
      <c r="F17" s="4">
        <v>24</v>
      </c>
      <c r="G17" s="4">
        <v>27</v>
      </c>
      <c r="H17" s="8">
        <v>0.46416165615646637</v>
      </c>
      <c r="I17" s="4" t="s">
        <v>168</v>
      </c>
      <c r="J17" s="8">
        <v>0.53583834384353368</v>
      </c>
      <c r="K17" s="4" t="s">
        <v>169</v>
      </c>
      <c r="L17" s="4" t="s">
        <v>25</v>
      </c>
      <c r="M17" s="4" t="s">
        <v>25</v>
      </c>
      <c r="N17" s="4">
        <v>1</v>
      </c>
      <c r="O17" s="15">
        <v>22.314163617631159</v>
      </c>
      <c r="P17" s="15">
        <v>23.350000397391529</v>
      </c>
      <c r="Q17" s="4">
        <v>-2.5</v>
      </c>
      <c r="R17" s="9">
        <v>-1.035836779760366</v>
      </c>
      <c r="S17" s="4" t="s">
        <v>139</v>
      </c>
      <c r="T17" s="4">
        <v>-3</v>
      </c>
      <c r="U17" s="4" t="s">
        <v>138</v>
      </c>
      <c r="V17" s="4">
        <v>0</v>
      </c>
      <c r="W17" s="4">
        <v>47.5</v>
      </c>
      <c r="X17" s="9">
        <v>45.664164015022678</v>
      </c>
      <c r="Y17" s="4" t="s">
        <v>141</v>
      </c>
      <c r="Z17" s="4">
        <v>51</v>
      </c>
      <c r="AA17" s="4" t="s">
        <v>140</v>
      </c>
      <c r="AB17" s="4">
        <v>0</v>
      </c>
      <c r="AC17" s="5">
        <v>-0.13217131296793619</v>
      </c>
      <c r="AD17" s="5">
        <v>0.17871148469018161</v>
      </c>
      <c r="AE17" s="5">
        <v>-0.2365132490793864</v>
      </c>
      <c r="AF17" s="5">
        <v>-0.17871148469018161</v>
      </c>
      <c r="AG17" s="5">
        <v>0.13217131296793619</v>
      </c>
      <c r="AH17" s="5">
        <v>0.2365132490793864</v>
      </c>
    </row>
    <row r="18" spans="2:34" x14ac:dyDescent="0.2">
      <c r="B18" s="4">
        <v>2025</v>
      </c>
      <c r="C18" s="4">
        <v>12</v>
      </c>
      <c r="D18" s="4" t="s">
        <v>37</v>
      </c>
      <c r="E18" s="4" t="s">
        <v>35</v>
      </c>
      <c r="F18" s="4">
        <v>10</v>
      </c>
      <c r="G18" s="4">
        <v>24</v>
      </c>
      <c r="H18" s="8">
        <v>0.51782157902187065</v>
      </c>
      <c r="I18" s="4">
        <v>-107</v>
      </c>
      <c r="J18" s="8">
        <v>0.48217842097812941</v>
      </c>
      <c r="K18" s="4" t="s">
        <v>72</v>
      </c>
      <c r="L18" s="4" t="s">
        <v>37</v>
      </c>
      <c r="M18" s="4" t="s">
        <v>35</v>
      </c>
      <c r="N18" s="4">
        <v>0</v>
      </c>
      <c r="O18" s="15">
        <v>20.171214739413401</v>
      </c>
      <c r="P18" s="15">
        <v>16.87910689786203</v>
      </c>
      <c r="Q18" s="4">
        <v>3</v>
      </c>
      <c r="R18" s="9">
        <v>3.29210784155137</v>
      </c>
      <c r="S18" s="4" t="s">
        <v>139</v>
      </c>
      <c r="T18" s="4">
        <v>-14</v>
      </c>
      <c r="U18" s="4" t="s">
        <v>138</v>
      </c>
      <c r="V18" s="4">
        <v>0</v>
      </c>
      <c r="W18" s="4">
        <v>35.5</v>
      </c>
      <c r="X18" s="9">
        <v>37.050321637275438</v>
      </c>
      <c r="Y18" s="4" t="s">
        <v>140</v>
      </c>
      <c r="Z18" s="4">
        <v>34</v>
      </c>
      <c r="AA18" s="4" t="s">
        <v>141</v>
      </c>
      <c r="AB18" s="4">
        <v>0</v>
      </c>
      <c r="AC18" s="5">
        <v>-0.33489239366748658</v>
      </c>
      <c r="AD18" s="5">
        <v>0.2222873687744141</v>
      </c>
      <c r="AE18" s="5">
        <v>-9.0066809808054274E-2</v>
      </c>
      <c r="AF18" s="5">
        <v>-0.2222873687744141</v>
      </c>
      <c r="AG18" s="5">
        <v>0.33489239366748658</v>
      </c>
      <c r="AH18" s="5">
        <v>9.0066809808054274E-2</v>
      </c>
    </row>
    <row r="19" spans="2:34" x14ac:dyDescent="0.2">
      <c r="B19" s="4">
        <v>2025</v>
      </c>
      <c r="C19" s="4">
        <v>12</v>
      </c>
      <c r="D19" s="4" t="s">
        <v>20</v>
      </c>
      <c r="E19" s="4" t="s">
        <v>11</v>
      </c>
      <c r="F19" s="4">
        <v>24</v>
      </c>
      <c r="G19" s="4">
        <v>21</v>
      </c>
      <c r="H19" s="8">
        <v>0.47087485194681949</v>
      </c>
      <c r="I19" s="4" t="s">
        <v>73</v>
      </c>
      <c r="J19" s="8">
        <v>0.52912514805318045</v>
      </c>
      <c r="K19" s="4" t="s">
        <v>171</v>
      </c>
      <c r="L19" s="4" t="s">
        <v>11</v>
      </c>
      <c r="M19" s="4" t="s">
        <v>20</v>
      </c>
      <c r="N19" s="4">
        <v>0</v>
      </c>
      <c r="O19" s="15">
        <v>22.441662686760129</v>
      </c>
      <c r="P19" s="15">
        <v>25.69663166288635</v>
      </c>
      <c r="Q19" s="4">
        <v>-3</v>
      </c>
      <c r="R19" s="15">
        <v>-3.2549689761262139</v>
      </c>
      <c r="S19" s="4" t="s">
        <v>138</v>
      </c>
      <c r="T19" s="4">
        <v>3</v>
      </c>
      <c r="U19" s="4" t="s">
        <v>139</v>
      </c>
      <c r="V19" s="4">
        <v>0</v>
      </c>
      <c r="W19" s="4">
        <v>47.5</v>
      </c>
      <c r="X19" s="9">
        <v>48.138294349646479</v>
      </c>
      <c r="Y19" s="4" t="s">
        <v>140</v>
      </c>
      <c r="Z19" s="4">
        <v>45</v>
      </c>
      <c r="AA19" s="4" t="s">
        <v>141</v>
      </c>
      <c r="AB19" s="4">
        <v>0</v>
      </c>
      <c r="AC19" s="5">
        <v>-2.401653645743786E-2</v>
      </c>
      <c r="AD19" s="5">
        <v>-3.168772137354291E-3</v>
      </c>
      <c r="AE19" s="5">
        <v>0.25749625921249392</v>
      </c>
      <c r="AF19" s="5">
        <v>3.168772137354291E-3</v>
      </c>
      <c r="AG19" s="5">
        <v>2.401653645743786E-2</v>
      </c>
      <c r="AH19" s="5">
        <v>-0.25749625921249392</v>
      </c>
    </row>
    <row r="20" spans="2:34" x14ac:dyDescent="0.2">
      <c r="B20" s="4">
        <v>2025</v>
      </c>
      <c r="C20" s="4">
        <v>12</v>
      </c>
      <c r="D20" s="4" t="s">
        <v>31</v>
      </c>
      <c r="E20" s="4" t="s">
        <v>49</v>
      </c>
      <c r="F20" s="4">
        <v>10</v>
      </c>
      <c r="G20" s="4">
        <v>24</v>
      </c>
      <c r="H20" s="8">
        <v>0.33749899154583213</v>
      </c>
      <c r="I20" s="4" t="s">
        <v>75</v>
      </c>
      <c r="J20" s="8">
        <v>0.66250100845416782</v>
      </c>
      <c r="K20" s="4" t="s">
        <v>172</v>
      </c>
      <c r="L20" s="4" t="s">
        <v>49</v>
      </c>
      <c r="M20" s="4" t="s">
        <v>49</v>
      </c>
      <c r="N20" s="4">
        <v>1</v>
      </c>
      <c r="O20" s="15">
        <v>17.703989718998571</v>
      </c>
      <c r="P20" s="15">
        <v>22.578308162078621</v>
      </c>
      <c r="Q20" s="4">
        <v>1.5</v>
      </c>
      <c r="R20" s="9">
        <v>-4.8743184430800532</v>
      </c>
      <c r="S20" s="4" t="s">
        <v>138</v>
      </c>
      <c r="T20" s="4">
        <v>-14</v>
      </c>
      <c r="U20" s="4" t="s">
        <v>138</v>
      </c>
      <c r="V20" s="4">
        <v>1</v>
      </c>
      <c r="W20" s="4">
        <v>41.5</v>
      </c>
      <c r="X20" s="9">
        <v>40.282297881077177</v>
      </c>
      <c r="Y20" s="4" t="s">
        <v>141</v>
      </c>
      <c r="Z20" s="4">
        <v>34</v>
      </c>
      <c r="AA20" s="4" t="s">
        <v>141</v>
      </c>
      <c r="AB20" s="4">
        <v>1</v>
      </c>
      <c r="AC20" s="5">
        <v>-0.23330636024475099</v>
      </c>
      <c r="AD20" s="5">
        <v>0.13419797285547799</v>
      </c>
      <c r="AE20" s="5">
        <v>-0.3328391456604004</v>
      </c>
      <c r="AF20" s="5">
        <v>-0.13419797285547799</v>
      </c>
      <c r="AG20" s="5">
        <v>0.23330636024475099</v>
      </c>
      <c r="AH20" s="5">
        <v>0.3328391456604004</v>
      </c>
    </row>
    <row r="21" spans="2:34" x14ac:dyDescent="0.2">
      <c r="B21" s="4">
        <v>2025</v>
      </c>
      <c r="C21" s="4">
        <v>12</v>
      </c>
      <c r="D21" s="4" t="s">
        <v>17</v>
      </c>
      <c r="E21" s="4" t="s">
        <v>43</v>
      </c>
      <c r="F21" s="4">
        <v>34</v>
      </c>
      <c r="G21" s="4">
        <v>7</v>
      </c>
      <c r="H21" s="8">
        <v>0.60571599318850144</v>
      </c>
      <c r="I21" s="4" t="s">
        <v>173</v>
      </c>
      <c r="J21" s="8">
        <v>0.39428400681149861</v>
      </c>
      <c r="K21" s="4" t="s">
        <v>33</v>
      </c>
      <c r="L21" s="4" t="s">
        <v>17</v>
      </c>
      <c r="M21" s="4" t="s">
        <v>17</v>
      </c>
      <c r="N21" s="4">
        <v>1</v>
      </c>
      <c r="O21" s="15">
        <v>24.899716854461079</v>
      </c>
      <c r="P21" s="15">
        <v>21.524890369124272</v>
      </c>
      <c r="Q21" s="4">
        <v>7</v>
      </c>
      <c r="R21" s="9">
        <v>3.3748264853368082</v>
      </c>
      <c r="S21" s="4" t="s">
        <v>138</v>
      </c>
      <c r="T21" s="4">
        <v>27</v>
      </c>
      <c r="U21" s="4" t="s">
        <v>139</v>
      </c>
      <c r="V21" s="4">
        <v>0</v>
      </c>
      <c r="W21" s="4">
        <v>49.5</v>
      </c>
      <c r="X21" s="9">
        <v>46.42460722358534</v>
      </c>
      <c r="Y21" s="4" t="s">
        <v>141</v>
      </c>
      <c r="Z21" s="4">
        <v>41</v>
      </c>
      <c r="AA21" s="4" t="s">
        <v>141</v>
      </c>
      <c r="AB21" s="4">
        <v>1</v>
      </c>
      <c r="AC21" s="5">
        <v>7.6005033084324422E-2</v>
      </c>
      <c r="AD21" s="5">
        <v>0.3951852798461914</v>
      </c>
      <c r="AE21" s="5">
        <v>5.4073310416677733E-2</v>
      </c>
      <c r="AF21" s="5">
        <v>-0.3951852798461914</v>
      </c>
      <c r="AG21" s="5">
        <v>-7.6005033084324422E-2</v>
      </c>
      <c r="AH21" s="5">
        <v>-5.4073310416677733E-2</v>
      </c>
    </row>
    <row r="22" spans="2:34" x14ac:dyDescent="0.2">
      <c r="B22" s="4">
        <v>2025</v>
      </c>
      <c r="C22" s="4">
        <v>12</v>
      </c>
      <c r="D22" s="4" t="s">
        <v>44</v>
      </c>
      <c r="E22" s="4" t="s">
        <v>19</v>
      </c>
      <c r="F22" s="4">
        <v>20</v>
      </c>
      <c r="G22" s="4">
        <v>9</v>
      </c>
      <c r="H22" s="8">
        <v>0.66176738641632282</v>
      </c>
      <c r="I22" s="4" t="s">
        <v>174</v>
      </c>
      <c r="J22" s="8">
        <v>0.33823261358367718</v>
      </c>
      <c r="K22" s="4" t="s">
        <v>175</v>
      </c>
      <c r="L22" s="4" t="s">
        <v>44</v>
      </c>
      <c r="M22" s="4" t="s">
        <v>44</v>
      </c>
      <c r="N22" s="4">
        <v>1</v>
      </c>
      <c r="O22" s="9">
        <v>29.439875839968931</v>
      </c>
      <c r="P22" s="15">
        <v>23.536852993215781</v>
      </c>
      <c r="Q22" s="4">
        <v>7.5</v>
      </c>
      <c r="R22" s="9">
        <v>5.9030228467531494</v>
      </c>
      <c r="S22" s="4" t="s">
        <v>138</v>
      </c>
      <c r="T22" s="4">
        <v>11</v>
      </c>
      <c r="U22" s="4" t="s">
        <v>139</v>
      </c>
      <c r="V22" s="4">
        <v>0</v>
      </c>
      <c r="W22" s="4">
        <v>48.5</v>
      </c>
      <c r="X22" s="9">
        <v>52.976728833184723</v>
      </c>
      <c r="Y22" s="4" t="s">
        <v>140</v>
      </c>
      <c r="Z22" s="4">
        <v>29</v>
      </c>
      <c r="AA22" s="4" t="s">
        <v>141</v>
      </c>
      <c r="AB22" s="4">
        <v>0</v>
      </c>
      <c r="AC22" s="5">
        <v>-1.347871387706083E-3</v>
      </c>
      <c r="AD22" s="5">
        <v>0.2190125783284505</v>
      </c>
      <c r="AE22" s="5">
        <v>0.20380350521632601</v>
      </c>
      <c r="AF22" s="5">
        <v>-0.2190125783284505</v>
      </c>
      <c r="AG22" s="5">
        <v>1.347871387706083E-3</v>
      </c>
      <c r="AH22" s="5">
        <v>-0.20380350521632601</v>
      </c>
    </row>
  </sheetData>
  <mergeCells count="6">
    <mergeCell ref="AF7:AH7"/>
    <mergeCell ref="H7:N7"/>
    <mergeCell ref="O7:P7"/>
    <mergeCell ref="Q7:V7"/>
    <mergeCell ref="W7:AB7"/>
    <mergeCell ref="AC7:AE7"/>
  </mergeCells>
  <conditionalFormatting sqref="AC9:AC22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9:AD22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9:AE22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9:AF22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9:AG22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9:AH22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ignoredErrors>
    <ignoredError sqref="I9:I17 K9:K22 I19:I2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5" id="{4027EECE-7591-8145-832A-B45C1BF02D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N9:N22</xm:sqref>
        </x14:conditionalFormatting>
        <x14:conditionalFormatting xmlns:xm="http://schemas.microsoft.com/office/excel/2006/main">
          <x14:cfRule type="iconSet" priority="46" id="{84491EE0-2AB2-794A-9250-B6BA8F21BA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V9:V22</xm:sqref>
        </x14:conditionalFormatting>
        <x14:conditionalFormatting xmlns:xm="http://schemas.microsoft.com/office/excel/2006/main">
          <x14:cfRule type="iconSet" priority="47" id="{4271A177-F591-E647-879E-7EB206597B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AB9:AB22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A5A1-BBDB-B847-B56F-A988AF1A9410}">
  <dimension ref="B2:AH24"/>
  <sheetViews>
    <sheetView showGridLines="0" workbookViewId="0">
      <selection activeCell="N27" sqref="N27"/>
    </sheetView>
  </sheetViews>
  <sheetFormatPr baseColWidth="10" defaultRowHeight="15" x14ac:dyDescent="0.2"/>
  <cols>
    <col min="2" max="3" width="9.5" customWidth="1"/>
    <col min="4" max="4" width="10.5" bestFit="1" customWidth="1"/>
    <col min="5" max="5" width="9.83203125" bestFit="1" customWidth="1"/>
    <col min="6" max="6" width="10.6640625" bestFit="1" customWidth="1"/>
    <col min="7" max="7" width="9.83203125" customWidth="1"/>
    <col min="8" max="8" width="10.1640625" customWidth="1"/>
    <col min="9" max="9" width="13.33203125" customWidth="1"/>
    <col min="10" max="10" width="9.5" customWidth="1"/>
    <col min="11" max="11" width="12.6640625" customWidth="1"/>
    <col min="12" max="12" width="4.83203125" customWidth="1"/>
    <col min="13" max="13" width="6.6640625" customWidth="1"/>
    <col min="14" max="14" width="14" customWidth="1"/>
    <col min="15" max="16" width="11.6640625" customWidth="1"/>
    <col min="17" max="17" width="10.1640625" bestFit="1" customWidth="1"/>
    <col min="18" max="18" width="10.83203125" bestFit="1" customWidth="1"/>
    <col min="19" max="19" width="10.33203125" bestFit="1" customWidth="1"/>
    <col min="20" max="20" width="5.6640625" bestFit="1" customWidth="1"/>
    <col min="21" max="21" width="11.6640625" bestFit="1" customWidth="1"/>
    <col min="22" max="22" width="13.6640625" bestFit="1" customWidth="1"/>
    <col min="23" max="23" width="8.6640625" bestFit="1" customWidth="1"/>
    <col min="24" max="24" width="9.33203125" bestFit="1" customWidth="1"/>
    <col min="25" max="25" width="8.83203125" bestFit="1" customWidth="1"/>
    <col min="26" max="26" width="4.83203125" bestFit="1" customWidth="1"/>
    <col min="27" max="27" width="10.1640625" bestFit="1" customWidth="1"/>
    <col min="28" max="28" width="12.1640625" bestFit="1" customWidth="1"/>
    <col min="29" max="30" width="10.1640625" bestFit="1" customWidth="1"/>
    <col min="31" max="31" width="10.6640625" bestFit="1" customWidth="1"/>
    <col min="32" max="33" width="10.1640625" bestFit="1" customWidth="1"/>
    <col min="34" max="34" width="10.6640625" bestFit="1" customWidth="1"/>
  </cols>
  <sheetData>
    <row r="2" spans="2:34" x14ac:dyDescent="0.2">
      <c r="B2" s="7" t="s">
        <v>63</v>
      </c>
      <c r="C2" s="13">
        <f>COUNTA($C$9:$C$24)</f>
        <v>16</v>
      </c>
    </row>
    <row r="3" spans="2:34" x14ac:dyDescent="0.2">
      <c r="B3" s="7" t="s">
        <v>145</v>
      </c>
      <c r="C3" s="13">
        <f>SUM(N9:$N$24)</f>
        <v>10</v>
      </c>
      <c r="D3" s="14">
        <f>C3/$C$2</f>
        <v>0.625</v>
      </c>
    </row>
    <row r="4" spans="2:34" x14ac:dyDescent="0.2">
      <c r="B4" s="7" t="s">
        <v>146</v>
      </c>
      <c r="C4" s="13">
        <f>SUM(V9:$V$24)</f>
        <v>10</v>
      </c>
      <c r="D4" s="14">
        <f t="shared" ref="D4:D5" si="0">C4/$C$2</f>
        <v>0.625</v>
      </c>
    </row>
    <row r="5" spans="2:34" x14ac:dyDescent="0.2">
      <c r="B5" s="7" t="s">
        <v>147</v>
      </c>
      <c r="C5" s="13">
        <f>SUM(AB9:$AB$24)</f>
        <v>8</v>
      </c>
      <c r="D5" s="14">
        <f t="shared" si="0"/>
        <v>0.5</v>
      </c>
    </row>
    <row r="6" spans="2:34" x14ac:dyDescent="0.2">
      <c r="C6" s="6"/>
    </row>
    <row r="7" spans="2:34" x14ac:dyDescent="0.2">
      <c r="H7" s="20" t="s">
        <v>142</v>
      </c>
      <c r="I7" s="20"/>
      <c r="J7" s="20"/>
      <c r="K7" s="20"/>
      <c r="L7" s="20"/>
      <c r="M7" s="20"/>
      <c r="N7" s="20"/>
      <c r="O7" s="20" t="s">
        <v>149</v>
      </c>
      <c r="P7" s="20"/>
      <c r="Q7" s="20" t="s">
        <v>143</v>
      </c>
      <c r="R7" s="20"/>
      <c r="S7" s="20"/>
      <c r="T7" s="20"/>
      <c r="U7" s="20"/>
      <c r="V7" s="20"/>
      <c r="W7" s="20" t="s">
        <v>144</v>
      </c>
      <c r="X7" s="20"/>
      <c r="Y7" s="20"/>
      <c r="Z7" s="20"/>
      <c r="AA7" s="20"/>
      <c r="AB7" s="20"/>
      <c r="AC7" s="20" t="s">
        <v>55</v>
      </c>
      <c r="AD7" s="20"/>
      <c r="AE7" s="20"/>
      <c r="AF7" s="20" t="s">
        <v>56</v>
      </c>
      <c r="AG7" s="20"/>
      <c r="AH7" s="20"/>
    </row>
    <row r="8" spans="2:34" x14ac:dyDescent="0.2">
      <c r="B8" s="1" t="s">
        <v>0</v>
      </c>
      <c r="C8" s="1" t="s">
        <v>1</v>
      </c>
      <c r="D8" s="1" t="s">
        <v>2</v>
      </c>
      <c r="E8" s="1" t="s">
        <v>3</v>
      </c>
      <c r="F8" s="1" t="s">
        <v>151</v>
      </c>
      <c r="G8" s="1" t="s">
        <v>152</v>
      </c>
      <c r="H8" s="1" t="s">
        <v>4</v>
      </c>
      <c r="I8" s="1" t="s">
        <v>7</v>
      </c>
      <c r="J8" s="1" t="s">
        <v>5</v>
      </c>
      <c r="K8" s="1" t="s">
        <v>8</v>
      </c>
      <c r="L8" s="1" t="s">
        <v>6</v>
      </c>
      <c r="M8" s="1" t="s">
        <v>9</v>
      </c>
      <c r="N8" s="1" t="s">
        <v>129</v>
      </c>
      <c r="O8" s="1" t="s">
        <v>139</v>
      </c>
      <c r="P8" s="1" t="s">
        <v>138</v>
      </c>
      <c r="Q8" s="1" t="s">
        <v>126</v>
      </c>
      <c r="R8" s="1" t="s">
        <v>127</v>
      </c>
      <c r="S8" s="1" t="s">
        <v>130</v>
      </c>
      <c r="T8" s="1" t="s">
        <v>131</v>
      </c>
      <c r="U8" s="1" t="s">
        <v>132</v>
      </c>
      <c r="V8" s="1" t="s">
        <v>133</v>
      </c>
      <c r="W8" s="1" t="s">
        <v>128</v>
      </c>
      <c r="X8" s="1" t="s">
        <v>148</v>
      </c>
      <c r="Y8" s="1" t="s">
        <v>134</v>
      </c>
      <c r="Z8" s="1" t="s">
        <v>135</v>
      </c>
      <c r="AA8" s="1" t="s">
        <v>136</v>
      </c>
      <c r="AB8" s="1" t="s">
        <v>137</v>
      </c>
      <c r="AC8" s="1" t="s">
        <v>57</v>
      </c>
      <c r="AD8" s="1" t="s">
        <v>58</v>
      </c>
      <c r="AE8" s="1" t="s">
        <v>59</v>
      </c>
      <c r="AF8" s="1" t="s">
        <v>57</v>
      </c>
      <c r="AG8" s="1" t="s">
        <v>58</v>
      </c>
      <c r="AH8" s="1" t="s">
        <v>59</v>
      </c>
    </row>
    <row r="9" spans="2:34" x14ac:dyDescent="0.2">
      <c r="B9" s="4">
        <v>2025</v>
      </c>
      <c r="C9" s="4">
        <v>13</v>
      </c>
      <c r="D9" s="4" t="s">
        <v>47</v>
      </c>
      <c r="E9" s="4" t="s">
        <v>40</v>
      </c>
      <c r="F9" s="4">
        <v>24</v>
      </c>
      <c r="G9" s="4">
        <v>31</v>
      </c>
      <c r="H9" s="8">
        <v>0.48253295193992413</v>
      </c>
      <c r="I9" s="4" t="s">
        <v>72</v>
      </c>
      <c r="J9" s="8">
        <v>0.51746704806007582</v>
      </c>
      <c r="K9" s="4" t="s">
        <v>170</v>
      </c>
      <c r="L9" s="4" t="s">
        <v>40</v>
      </c>
      <c r="M9" s="4" t="s">
        <v>40</v>
      </c>
      <c r="N9" s="4">
        <v>1</v>
      </c>
      <c r="O9" s="15">
        <v>25.529233570599331</v>
      </c>
      <c r="P9" s="15">
        <v>25.607126002885931</v>
      </c>
      <c r="Q9" s="4">
        <v>2.5</v>
      </c>
      <c r="R9" s="15">
        <v>-7.7892432286603253E-2</v>
      </c>
      <c r="S9" s="4" t="s">
        <v>138</v>
      </c>
      <c r="T9" s="4">
        <v>-7</v>
      </c>
      <c r="U9" s="4" t="s">
        <v>138</v>
      </c>
      <c r="V9" s="4">
        <v>1</v>
      </c>
      <c r="W9" s="4">
        <v>48.5</v>
      </c>
      <c r="X9" s="9">
        <v>51.136359573485272</v>
      </c>
      <c r="Y9" s="4" t="s">
        <v>140</v>
      </c>
      <c r="Z9" s="4">
        <v>55</v>
      </c>
      <c r="AA9" s="4" t="s">
        <v>140</v>
      </c>
      <c r="AB9" s="4">
        <v>1</v>
      </c>
      <c r="AC9" s="5">
        <v>4.8194105662996797E-2</v>
      </c>
      <c r="AD9" s="5">
        <v>-0.31817717471365198</v>
      </c>
      <c r="AE9" s="5">
        <v>5.2845547596613557E-2</v>
      </c>
      <c r="AF9" s="5">
        <v>0.31817717471365198</v>
      </c>
      <c r="AG9" s="5">
        <v>-4.8194105662996797E-2</v>
      </c>
      <c r="AH9" s="5">
        <v>-5.2845547596613557E-2</v>
      </c>
    </row>
    <row r="10" spans="2:34" x14ac:dyDescent="0.2">
      <c r="B10" s="4">
        <v>2025</v>
      </c>
      <c r="C10" s="4">
        <v>13</v>
      </c>
      <c r="D10" s="4" t="s">
        <v>20</v>
      </c>
      <c r="E10" s="4" t="s">
        <v>46</v>
      </c>
      <c r="F10" s="4">
        <v>31</v>
      </c>
      <c r="G10" s="4">
        <v>28</v>
      </c>
      <c r="H10" s="8">
        <v>0.46143532478045052</v>
      </c>
      <c r="I10" s="4" t="s">
        <v>18</v>
      </c>
      <c r="J10" s="8">
        <v>0.53856467521954954</v>
      </c>
      <c r="K10" s="4" t="s">
        <v>176</v>
      </c>
      <c r="L10" s="4" t="s">
        <v>46</v>
      </c>
      <c r="M10" s="4" t="s">
        <v>20</v>
      </c>
      <c r="N10" s="4">
        <v>0</v>
      </c>
      <c r="O10" s="15">
        <v>23.335191684024949</v>
      </c>
      <c r="P10" s="15">
        <v>27.11730556268461</v>
      </c>
      <c r="Q10" s="4">
        <v>-3.5</v>
      </c>
      <c r="R10" s="15">
        <v>-3.7821138786596542</v>
      </c>
      <c r="S10" s="4" t="s">
        <v>138</v>
      </c>
      <c r="T10" s="4">
        <v>3</v>
      </c>
      <c r="U10" s="4" t="s">
        <v>139</v>
      </c>
      <c r="V10" s="4">
        <v>0</v>
      </c>
      <c r="W10" s="4">
        <v>53.5</v>
      </c>
      <c r="X10" s="9">
        <v>50.452497246709562</v>
      </c>
      <c r="Y10" s="4" t="s">
        <v>141</v>
      </c>
      <c r="Z10" s="4">
        <v>59</v>
      </c>
      <c r="AA10" s="4" t="s">
        <v>140</v>
      </c>
      <c r="AB10" s="4">
        <v>0</v>
      </c>
      <c r="AC10" s="5">
        <v>0.27415717857471411</v>
      </c>
      <c r="AD10" s="5">
        <v>-0.17532253265380859</v>
      </c>
      <c r="AE10" s="5">
        <v>-7.3952504566737586E-3</v>
      </c>
      <c r="AF10" s="5">
        <v>0.17532253265380859</v>
      </c>
      <c r="AG10" s="5">
        <v>-0.27415717857471411</v>
      </c>
      <c r="AH10" s="5">
        <v>7.3952504566737586E-3</v>
      </c>
    </row>
    <row r="11" spans="2:34" x14ac:dyDescent="0.2">
      <c r="B11" s="4">
        <v>2025</v>
      </c>
      <c r="C11" s="4">
        <v>13</v>
      </c>
      <c r="D11" s="4" t="s">
        <v>16</v>
      </c>
      <c r="E11" s="4" t="s">
        <v>41</v>
      </c>
      <c r="F11" s="4">
        <v>14</v>
      </c>
      <c r="G11" s="4">
        <v>32</v>
      </c>
      <c r="H11" s="8">
        <v>0.63629110319441307</v>
      </c>
      <c r="I11" s="4" t="s">
        <v>177</v>
      </c>
      <c r="J11" s="8">
        <v>0.36370889680558688</v>
      </c>
      <c r="K11" s="4" t="s">
        <v>178</v>
      </c>
      <c r="L11" s="4" t="s">
        <v>16</v>
      </c>
      <c r="M11" s="4" t="s">
        <v>41</v>
      </c>
      <c r="N11" s="4">
        <v>0</v>
      </c>
      <c r="O11" s="15">
        <v>25.27901628321883</v>
      </c>
      <c r="P11" s="15">
        <v>20.5041983289656</v>
      </c>
      <c r="Q11" s="4">
        <v>7</v>
      </c>
      <c r="R11" s="9">
        <v>4.774817954253237</v>
      </c>
      <c r="S11" s="4" t="s">
        <v>138</v>
      </c>
      <c r="T11" s="4">
        <v>-18</v>
      </c>
      <c r="U11" s="4" t="s">
        <v>138</v>
      </c>
      <c r="V11" s="4">
        <v>1</v>
      </c>
      <c r="W11" s="4">
        <v>52.5</v>
      </c>
      <c r="X11" s="9">
        <v>45.78321461218443</v>
      </c>
      <c r="Y11" s="4" t="s">
        <v>141</v>
      </c>
      <c r="Z11" s="4">
        <v>46</v>
      </c>
      <c r="AA11" s="4" t="s">
        <v>141</v>
      </c>
      <c r="AB11" s="4">
        <v>1</v>
      </c>
      <c r="AC11" s="5">
        <v>-0.33492178836111303</v>
      </c>
      <c r="AD11" s="5">
        <v>-1.9006772213671579E-2</v>
      </c>
      <c r="AE11" s="5">
        <v>-0.16997030929282861</v>
      </c>
      <c r="AF11" s="5">
        <v>1.9006772213671579E-2</v>
      </c>
      <c r="AG11" s="5">
        <v>0.33492178836111303</v>
      </c>
      <c r="AH11" s="5">
        <v>0.16997030929282861</v>
      </c>
    </row>
    <row r="12" spans="2:34" x14ac:dyDescent="0.2">
      <c r="B12" s="4">
        <v>2025</v>
      </c>
      <c r="C12" s="4">
        <v>13</v>
      </c>
      <c r="D12" s="4" t="s">
        <v>11</v>
      </c>
      <c r="E12" s="4" t="s">
        <v>53</v>
      </c>
      <c r="F12" s="4">
        <v>15</v>
      </c>
      <c r="G12" s="4">
        <v>24</v>
      </c>
      <c r="H12" s="8">
        <v>0.56753267068476598</v>
      </c>
      <c r="I12" s="4" t="s">
        <v>179</v>
      </c>
      <c r="J12" s="8">
        <v>0.43246732931523402</v>
      </c>
      <c r="K12" s="4" t="s">
        <v>180</v>
      </c>
      <c r="L12" s="4" t="s">
        <v>11</v>
      </c>
      <c r="M12" s="4" t="s">
        <v>53</v>
      </c>
      <c r="N12" s="4">
        <v>0</v>
      </c>
      <c r="O12" s="15">
        <v>24.962502032181931</v>
      </c>
      <c r="P12" s="15">
        <v>18.993511265401501</v>
      </c>
      <c r="Q12" s="4">
        <v>7</v>
      </c>
      <c r="R12" s="9">
        <v>5.9689907667804292</v>
      </c>
      <c r="S12" s="4" t="s">
        <v>138</v>
      </c>
      <c r="T12" s="4">
        <v>-9</v>
      </c>
      <c r="U12" s="4" t="s">
        <v>138</v>
      </c>
      <c r="V12" s="4">
        <v>1</v>
      </c>
      <c r="W12" s="4">
        <v>43.5</v>
      </c>
      <c r="X12" s="9">
        <v>43.956013297583432</v>
      </c>
      <c r="Y12" s="4" t="s">
        <v>140</v>
      </c>
      <c r="Z12" s="4">
        <v>39</v>
      </c>
      <c r="AA12" s="4" t="s">
        <v>141</v>
      </c>
      <c r="AB12" s="4">
        <v>0</v>
      </c>
      <c r="AC12" s="5">
        <v>-3.8964977451399263E-2</v>
      </c>
      <c r="AD12" s="5">
        <v>-4.2160286459811902E-2</v>
      </c>
      <c r="AE12" s="5">
        <v>-0.1730813407897949</v>
      </c>
      <c r="AF12" s="5">
        <v>4.2160286459811902E-2</v>
      </c>
      <c r="AG12" s="5">
        <v>3.8964977451399263E-2</v>
      </c>
      <c r="AH12" s="5">
        <v>0.1730813407897949</v>
      </c>
    </row>
    <row r="13" spans="2:34" x14ac:dyDescent="0.2">
      <c r="B13" s="4">
        <v>2025</v>
      </c>
      <c r="C13" s="4">
        <v>13</v>
      </c>
      <c r="D13" s="4" t="s">
        <v>19</v>
      </c>
      <c r="E13" s="4" t="s">
        <v>17</v>
      </c>
      <c r="F13" s="4">
        <v>31</v>
      </c>
      <c r="G13" s="4">
        <v>28</v>
      </c>
      <c r="H13" s="8">
        <v>0.28542976443971663</v>
      </c>
      <c r="I13" s="4" t="s">
        <v>181</v>
      </c>
      <c r="J13" s="8">
        <v>0.71457023556028343</v>
      </c>
      <c r="K13" s="4" t="s">
        <v>182</v>
      </c>
      <c r="L13" s="4" t="s">
        <v>17</v>
      </c>
      <c r="M13" s="4" t="s">
        <v>19</v>
      </c>
      <c r="N13" s="4">
        <v>0</v>
      </c>
      <c r="O13" s="15">
        <v>21.008246054848851</v>
      </c>
      <c r="P13" s="15">
        <v>27.144541748462359</v>
      </c>
      <c r="Q13" s="4">
        <v>-10</v>
      </c>
      <c r="R13" s="9">
        <v>-6.1362956936135076</v>
      </c>
      <c r="S13" s="4" t="s">
        <v>139</v>
      </c>
      <c r="T13" s="4">
        <v>3</v>
      </c>
      <c r="U13" s="4" t="s">
        <v>139</v>
      </c>
      <c r="V13" s="4">
        <v>1</v>
      </c>
      <c r="W13" s="4">
        <v>44.5</v>
      </c>
      <c r="X13" s="9">
        <v>48.152787803311213</v>
      </c>
      <c r="Y13" s="4" t="s">
        <v>140</v>
      </c>
      <c r="Z13" s="4">
        <v>59</v>
      </c>
      <c r="AA13" s="4" t="s">
        <v>140</v>
      </c>
      <c r="AB13" s="4">
        <v>1</v>
      </c>
      <c r="AC13" s="5">
        <v>0.19092290909563911</v>
      </c>
      <c r="AD13" s="5">
        <v>-0.14862052132101619</v>
      </c>
      <c r="AE13" s="5">
        <v>-0.12567351758480069</v>
      </c>
      <c r="AF13" s="5">
        <v>0.14862052132101619</v>
      </c>
      <c r="AG13" s="5">
        <v>-0.19092290909563911</v>
      </c>
      <c r="AH13" s="5">
        <v>0.12567351758480069</v>
      </c>
    </row>
    <row r="14" spans="2:34" x14ac:dyDescent="0.2">
      <c r="B14" s="4">
        <v>2025</v>
      </c>
      <c r="C14" s="4">
        <v>13</v>
      </c>
      <c r="D14" s="4" t="s">
        <v>35</v>
      </c>
      <c r="E14" s="4" t="s">
        <v>44</v>
      </c>
      <c r="F14" s="4">
        <v>8</v>
      </c>
      <c r="G14" s="4">
        <v>26</v>
      </c>
      <c r="H14" s="8">
        <v>0.29341196841472611</v>
      </c>
      <c r="I14" s="4" t="s">
        <v>183</v>
      </c>
      <c r="J14" s="8">
        <v>0.70658803158527395</v>
      </c>
      <c r="K14" s="4" t="s">
        <v>184</v>
      </c>
      <c r="L14" s="4" t="s">
        <v>44</v>
      </c>
      <c r="M14" s="4" t="s">
        <v>44</v>
      </c>
      <c r="N14" s="4">
        <v>1</v>
      </c>
      <c r="O14" s="15">
        <v>19.126576732061579</v>
      </c>
      <c r="P14" s="15">
        <v>24.024825809834759</v>
      </c>
      <c r="Q14" s="4">
        <v>-5.5</v>
      </c>
      <c r="R14" s="15">
        <v>-4.8982490777731833</v>
      </c>
      <c r="S14" s="4" t="s">
        <v>139</v>
      </c>
      <c r="T14" s="4">
        <v>-18</v>
      </c>
      <c r="U14" s="4" t="s">
        <v>138</v>
      </c>
      <c r="V14" s="4">
        <v>0</v>
      </c>
      <c r="W14" s="4">
        <v>35.5</v>
      </c>
      <c r="X14" s="9">
        <v>43.151402541896353</v>
      </c>
      <c r="Y14" s="4" t="s">
        <v>140</v>
      </c>
      <c r="Z14" s="4">
        <v>34</v>
      </c>
      <c r="AA14" s="4" t="s">
        <v>141</v>
      </c>
      <c r="AB14" s="4">
        <v>0</v>
      </c>
      <c r="AC14" s="5">
        <v>-0.237057993488927</v>
      </c>
      <c r="AD14" s="5">
        <v>-2.5767023746783919E-2</v>
      </c>
      <c r="AE14" s="5">
        <v>-0.40003050457347522</v>
      </c>
      <c r="AF14" s="5">
        <v>2.5767023746783919E-2</v>
      </c>
      <c r="AG14" s="5">
        <v>0.237057993488927</v>
      </c>
      <c r="AH14" s="5">
        <v>0.40003050457347522</v>
      </c>
    </row>
    <row r="15" spans="2:34" x14ac:dyDescent="0.2">
      <c r="B15" s="4">
        <v>2025</v>
      </c>
      <c r="C15" s="4">
        <v>13</v>
      </c>
      <c r="D15" s="4" t="s">
        <v>22</v>
      </c>
      <c r="E15" s="4" t="s">
        <v>85</v>
      </c>
      <c r="F15" s="4">
        <v>16</v>
      </c>
      <c r="G15" s="4">
        <v>20</v>
      </c>
      <c r="H15" s="8">
        <v>0.64065800177892263</v>
      </c>
      <c r="I15" s="4" t="s">
        <v>185</v>
      </c>
      <c r="J15" s="8">
        <v>0.35934199822107737</v>
      </c>
      <c r="K15" s="4" t="s">
        <v>186</v>
      </c>
      <c r="L15" s="4" t="s">
        <v>22</v>
      </c>
      <c r="M15" s="4" t="s">
        <v>85</v>
      </c>
      <c r="N15" s="4">
        <v>0</v>
      </c>
      <c r="O15" s="15">
        <v>26.080700971734249</v>
      </c>
      <c r="P15" s="15">
        <v>21.40125468180058</v>
      </c>
      <c r="Q15" s="4">
        <v>3</v>
      </c>
      <c r="R15" s="9">
        <v>4.6794462899336624</v>
      </c>
      <c r="S15" s="4" t="s">
        <v>139</v>
      </c>
      <c r="T15" s="4">
        <v>-4</v>
      </c>
      <c r="U15" s="4" t="s">
        <v>138</v>
      </c>
      <c r="V15" s="4">
        <v>0</v>
      </c>
      <c r="W15" s="4">
        <v>44.5</v>
      </c>
      <c r="X15" s="9">
        <v>47.481955653534833</v>
      </c>
      <c r="Y15" s="4" t="s">
        <v>140</v>
      </c>
      <c r="Z15" s="4">
        <v>36</v>
      </c>
      <c r="AA15" s="4" t="s">
        <v>141</v>
      </c>
      <c r="AB15" s="4">
        <v>0</v>
      </c>
      <c r="AC15" s="5">
        <v>-3.4005244572957359E-2</v>
      </c>
      <c r="AD15" s="5">
        <v>-3.0582845211029049E-2</v>
      </c>
      <c r="AE15" s="5">
        <v>-0.1390877257693898</v>
      </c>
      <c r="AF15" s="5">
        <v>3.0582845211029049E-2</v>
      </c>
      <c r="AG15" s="5">
        <v>3.4005244572957359E-2</v>
      </c>
      <c r="AH15" s="5">
        <v>0.1390877257693898</v>
      </c>
    </row>
    <row r="16" spans="2:34" x14ac:dyDescent="0.2">
      <c r="B16" s="4">
        <v>2025</v>
      </c>
      <c r="C16" s="4">
        <v>13</v>
      </c>
      <c r="D16" s="4" t="s">
        <v>28</v>
      </c>
      <c r="E16" s="4" t="s">
        <v>31</v>
      </c>
      <c r="F16" s="4">
        <v>21</v>
      </c>
      <c r="G16" s="4">
        <v>17</v>
      </c>
      <c r="H16" s="8">
        <v>0.71553632687105495</v>
      </c>
      <c r="I16" s="4" t="s">
        <v>187</v>
      </c>
      <c r="J16" s="8">
        <v>0.28446367312894499</v>
      </c>
      <c r="K16" s="4" t="s">
        <v>12</v>
      </c>
      <c r="L16" s="4" t="s">
        <v>28</v>
      </c>
      <c r="M16" s="4" t="s">
        <v>28</v>
      </c>
      <c r="N16" s="4">
        <v>1</v>
      </c>
      <c r="O16" s="15">
        <v>26.918813575615321</v>
      </c>
      <c r="P16" s="15">
        <v>17.904846113736539</v>
      </c>
      <c r="Q16" s="4">
        <v>5.5</v>
      </c>
      <c r="R16" s="15">
        <v>9.0139674618787886</v>
      </c>
      <c r="S16" s="4" t="s">
        <v>139</v>
      </c>
      <c r="T16" s="4">
        <v>4</v>
      </c>
      <c r="U16" s="4" t="s">
        <v>138</v>
      </c>
      <c r="V16" s="4">
        <v>0</v>
      </c>
      <c r="W16" s="4">
        <v>41.5</v>
      </c>
      <c r="X16" s="9">
        <v>44.823659689351857</v>
      </c>
      <c r="Y16" s="4" t="s">
        <v>140</v>
      </c>
      <c r="Z16" s="4">
        <v>38</v>
      </c>
      <c r="AA16" s="4" t="s">
        <v>141</v>
      </c>
      <c r="AB16" s="4">
        <v>0</v>
      </c>
      <c r="AC16" s="5">
        <v>-0.1349042739186968</v>
      </c>
      <c r="AD16" s="5">
        <v>0.14688459123883929</v>
      </c>
      <c r="AE16" s="5">
        <v>1.8373789610686121E-2</v>
      </c>
      <c r="AF16" s="5">
        <v>-0.14688459123883929</v>
      </c>
      <c r="AG16" s="5">
        <v>0.1349042739186968</v>
      </c>
      <c r="AH16" s="5">
        <v>-1.8373789610686121E-2</v>
      </c>
    </row>
    <row r="17" spans="2:34" x14ac:dyDescent="0.2">
      <c r="B17" s="4">
        <v>2025</v>
      </c>
      <c r="C17" s="4">
        <v>13</v>
      </c>
      <c r="D17" s="4" t="s">
        <v>13</v>
      </c>
      <c r="E17" s="4" t="s">
        <v>49</v>
      </c>
      <c r="F17" s="4">
        <v>27</v>
      </c>
      <c r="G17" s="4">
        <v>24</v>
      </c>
      <c r="H17" s="8">
        <v>0.46351676924061591</v>
      </c>
      <c r="I17" s="4" t="s">
        <v>168</v>
      </c>
      <c r="J17" s="8">
        <v>0.53648323075938409</v>
      </c>
      <c r="K17" s="4" t="s">
        <v>169</v>
      </c>
      <c r="L17" s="4" t="s">
        <v>49</v>
      </c>
      <c r="M17" s="4" t="s">
        <v>13</v>
      </c>
      <c r="N17" s="4">
        <v>0</v>
      </c>
      <c r="O17" s="15">
        <v>24.52010004134878</v>
      </c>
      <c r="P17" s="15">
        <v>24.57762602875588</v>
      </c>
      <c r="Q17" s="4">
        <v>-3</v>
      </c>
      <c r="R17" s="9">
        <v>-5.7525987407096579E-2</v>
      </c>
      <c r="S17" s="4" t="s">
        <v>139</v>
      </c>
      <c r="T17" s="4">
        <v>3</v>
      </c>
      <c r="U17" s="4" t="s">
        <v>139</v>
      </c>
      <c r="V17" s="4">
        <v>1</v>
      </c>
      <c r="W17" s="4">
        <v>38.5</v>
      </c>
      <c r="X17" s="9">
        <v>49.097726070104663</v>
      </c>
      <c r="Y17" s="4" t="s">
        <v>140</v>
      </c>
      <c r="Z17" s="4">
        <v>51</v>
      </c>
      <c r="AA17" s="4" t="s">
        <v>140</v>
      </c>
      <c r="AB17" s="4">
        <v>1</v>
      </c>
      <c r="AC17" s="5">
        <v>2.3049904749943659E-2</v>
      </c>
      <c r="AD17" s="5">
        <v>-0.1808726822120556</v>
      </c>
      <c r="AE17" s="5">
        <v>0.46029137120102392</v>
      </c>
      <c r="AF17" s="5">
        <v>0.1808726822120556</v>
      </c>
      <c r="AG17" s="5">
        <v>-2.3049904749943659E-2</v>
      </c>
      <c r="AH17" s="5">
        <v>-0.46029137120102392</v>
      </c>
    </row>
    <row r="18" spans="2:34" x14ac:dyDescent="0.2">
      <c r="B18" s="4">
        <v>2025</v>
      </c>
      <c r="C18" s="4">
        <v>13</v>
      </c>
      <c r="D18" s="4" t="s">
        <v>43</v>
      </c>
      <c r="E18" s="4" t="s">
        <v>23</v>
      </c>
      <c r="F18" s="4">
        <v>20</v>
      </c>
      <c r="G18" s="4">
        <v>17</v>
      </c>
      <c r="H18" s="8">
        <v>0.54317326890060746</v>
      </c>
      <c r="I18" s="4" t="s">
        <v>188</v>
      </c>
      <c r="J18" s="8">
        <v>0.45682673109939248</v>
      </c>
      <c r="K18" s="4" t="s">
        <v>189</v>
      </c>
      <c r="L18" s="4" t="s">
        <v>43</v>
      </c>
      <c r="M18" s="4" t="s">
        <v>43</v>
      </c>
      <c r="N18" s="4">
        <v>1</v>
      </c>
      <c r="O18" s="15">
        <v>22.25229424880515</v>
      </c>
      <c r="P18" s="15">
        <v>19.465320455178389</v>
      </c>
      <c r="Q18" s="4">
        <v>4.5</v>
      </c>
      <c r="R18" s="9">
        <v>2.7869737936267569</v>
      </c>
      <c r="S18" s="4" t="s">
        <v>138</v>
      </c>
      <c r="T18" s="4">
        <v>3</v>
      </c>
      <c r="U18" s="4" t="s">
        <v>138</v>
      </c>
      <c r="V18" s="4">
        <v>1</v>
      </c>
      <c r="W18" s="4">
        <v>44.5</v>
      </c>
      <c r="X18" s="9">
        <v>41.717614703983543</v>
      </c>
      <c r="Y18" s="4" t="s">
        <v>141</v>
      </c>
      <c r="Z18" s="4">
        <v>37</v>
      </c>
      <c r="AA18" s="4" t="s">
        <v>141</v>
      </c>
      <c r="AB18" s="4">
        <v>1</v>
      </c>
      <c r="AC18" s="5">
        <v>-2.9960443233621532E-2</v>
      </c>
      <c r="AD18" s="5">
        <v>2.6304463545481369E-2</v>
      </c>
      <c r="AE18" s="5">
        <v>0.3582997114762016</v>
      </c>
      <c r="AF18" s="5">
        <v>-2.6304463545481369E-2</v>
      </c>
      <c r="AG18" s="5">
        <v>2.9960443233621532E-2</v>
      </c>
      <c r="AH18" s="5">
        <v>-0.3582997114762016</v>
      </c>
    </row>
    <row r="19" spans="2:34" x14ac:dyDescent="0.2">
      <c r="B19" s="4">
        <v>2025</v>
      </c>
      <c r="C19" s="4">
        <v>13</v>
      </c>
      <c r="D19" s="4" t="s">
        <v>38</v>
      </c>
      <c r="E19" s="4" t="s">
        <v>25</v>
      </c>
      <c r="F19" s="4">
        <v>3</v>
      </c>
      <c r="G19" s="4">
        <v>25</v>
      </c>
      <c r="H19" s="8">
        <v>0.31470373992465139</v>
      </c>
      <c r="I19" s="4" t="s">
        <v>155</v>
      </c>
      <c r="J19" s="8">
        <v>0.68529626007534861</v>
      </c>
      <c r="K19" s="4" t="s">
        <v>154</v>
      </c>
      <c r="L19" s="4" t="s">
        <v>25</v>
      </c>
      <c r="M19" s="4" t="s">
        <v>25</v>
      </c>
      <c r="N19" s="4">
        <v>1</v>
      </c>
      <c r="O19" s="15">
        <v>19.256245495337371</v>
      </c>
      <c r="P19" s="15">
        <v>24.747670521983679</v>
      </c>
      <c r="Q19" s="4">
        <v>-6</v>
      </c>
      <c r="R19" s="15">
        <v>-5.4914250266463078</v>
      </c>
      <c r="S19" s="4" t="s">
        <v>139</v>
      </c>
      <c r="T19" s="4">
        <v>-22</v>
      </c>
      <c r="U19" s="4" t="s">
        <v>138</v>
      </c>
      <c r="V19" s="4">
        <v>0</v>
      </c>
      <c r="W19" s="4">
        <v>42.5</v>
      </c>
      <c r="X19" s="9">
        <v>44.003916017321053</v>
      </c>
      <c r="Y19" s="4" t="s">
        <v>140</v>
      </c>
      <c r="Z19" s="4">
        <v>28</v>
      </c>
      <c r="AA19" s="4" t="s">
        <v>141</v>
      </c>
      <c r="AB19" s="4">
        <v>0</v>
      </c>
      <c r="AC19" s="5">
        <v>-0.37743313029661019</v>
      </c>
      <c r="AD19" s="5">
        <v>-9.9263052145640053E-3</v>
      </c>
      <c r="AE19" s="5">
        <v>-8.1854213367808945E-2</v>
      </c>
      <c r="AF19" s="5">
        <v>9.9263052145640053E-3</v>
      </c>
      <c r="AG19" s="5">
        <v>0.37743313029661019</v>
      </c>
      <c r="AH19" s="5">
        <v>8.1854213367808945E-2</v>
      </c>
    </row>
    <row r="20" spans="2:34" x14ac:dyDescent="0.2">
      <c r="B20" s="4">
        <v>2025</v>
      </c>
      <c r="C20" s="4">
        <v>13</v>
      </c>
      <c r="D20" s="4" t="s">
        <v>26</v>
      </c>
      <c r="E20" s="4" t="s">
        <v>77</v>
      </c>
      <c r="F20" s="4">
        <v>26</v>
      </c>
      <c r="G20" s="4">
        <v>0</v>
      </c>
      <c r="H20" s="8">
        <v>0.76149653354981373</v>
      </c>
      <c r="I20" s="4" t="s">
        <v>190</v>
      </c>
      <c r="J20" s="8">
        <v>0.2385034664501863</v>
      </c>
      <c r="K20" s="4" t="s">
        <v>191</v>
      </c>
      <c r="L20" s="4" t="s">
        <v>26</v>
      </c>
      <c r="M20" s="4" t="s">
        <v>26</v>
      </c>
      <c r="N20" s="4">
        <v>1</v>
      </c>
      <c r="O20" s="15">
        <v>26.62777531950438</v>
      </c>
      <c r="P20" s="15">
        <v>17.542469137365181</v>
      </c>
      <c r="Q20" s="4">
        <v>12.5</v>
      </c>
      <c r="R20" s="9">
        <v>9.0853061821392025</v>
      </c>
      <c r="S20" s="4" t="s">
        <v>138</v>
      </c>
      <c r="T20" s="4">
        <v>26</v>
      </c>
      <c r="U20" s="4" t="s">
        <v>139</v>
      </c>
      <c r="V20" s="4">
        <v>0</v>
      </c>
      <c r="W20" s="4">
        <v>42.5</v>
      </c>
      <c r="X20" s="9">
        <v>44.170244456869547</v>
      </c>
      <c r="Y20" s="4" t="s">
        <v>140</v>
      </c>
      <c r="Z20" s="4">
        <v>26</v>
      </c>
      <c r="AA20" s="4" t="s">
        <v>141</v>
      </c>
      <c r="AB20" s="4">
        <v>0</v>
      </c>
      <c r="AC20" s="5">
        <v>-0.1377916763077921</v>
      </c>
      <c r="AD20" s="5">
        <v>0.6641845703125</v>
      </c>
      <c r="AE20" s="5">
        <v>0.18704989682073181</v>
      </c>
      <c r="AF20" s="5">
        <v>-0.6641845703125</v>
      </c>
      <c r="AG20" s="5">
        <v>0.1377916763077921</v>
      </c>
      <c r="AH20" s="5">
        <v>-0.18704989682073181</v>
      </c>
    </row>
    <row r="21" spans="2:34" x14ac:dyDescent="0.2">
      <c r="B21" s="4">
        <v>2025</v>
      </c>
      <c r="C21" s="4">
        <v>13</v>
      </c>
      <c r="D21" s="4" t="s">
        <v>29</v>
      </c>
      <c r="E21" s="4" t="s">
        <v>37</v>
      </c>
      <c r="F21" s="4">
        <v>31</v>
      </c>
      <c r="G21" s="4">
        <v>14</v>
      </c>
      <c r="H21" s="8">
        <v>0.75882698175695307</v>
      </c>
      <c r="I21" s="4" t="s">
        <v>192</v>
      </c>
      <c r="J21" s="8">
        <v>0.2411730182430469</v>
      </c>
      <c r="K21" s="4" t="s">
        <v>193</v>
      </c>
      <c r="L21" s="4" t="s">
        <v>29</v>
      </c>
      <c r="M21" s="4" t="s">
        <v>29</v>
      </c>
      <c r="N21" s="4">
        <v>1</v>
      </c>
      <c r="O21" s="15">
        <v>26.695924407346009</v>
      </c>
      <c r="P21" s="15">
        <v>16.29599177358509</v>
      </c>
      <c r="Q21" s="4">
        <v>10</v>
      </c>
      <c r="R21" s="9">
        <v>10.399932633760921</v>
      </c>
      <c r="S21" s="4" t="s">
        <v>139</v>
      </c>
      <c r="T21" s="4">
        <v>17</v>
      </c>
      <c r="U21" s="4" t="s">
        <v>139</v>
      </c>
      <c r="V21" s="4">
        <v>1</v>
      </c>
      <c r="W21" s="4">
        <v>40.5</v>
      </c>
      <c r="X21" s="9">
        <v>42.991916180931099</v>
      </c>
      <c r="Y21" s="4" t="s">
        <v>140</v>
      </c>
      <c r="Z21" s="4">
        <v>45</v>
      </c>
      <c r="AA21" s="4" t="s">
        <v>140</v>
      </c>
      <c r="AB21" s="4">
        <v>1</v>
      </c>
      <c r="AC21" s="5">
        <v>0.1381939227764423</v>
      </c>
      <c r="AD21" s="5">
        <v>0.25111865997314448</v>
      </c>
      <c r="AE21" s="5">
        <v>9.6234646710482513E-2</v>
      </c>
      <c r="AF21" s="5">
        <v>-0.25111865997314448</v>
      </c>
      <c r="AG21" s="5">
        <v>-0.1381939227764423</v>
      </c>
      <c r="AH21" s="5">
        <v>-9.6234646710482513E-2</v>
      </c>
    </row>
    <row r="22" spans="2:34" x14ac:dyDescent="0.2">
      <c r="B22" s="4">
        <v>2025</v>
      </c>
      <c r="C22" s="4">
        <v>13</v>
      </c>
      <c r="D22" s="4" t="s">
        <v>34</v>
      </c>
      <c r="E22" s="4" t="s">
        <v>50</v>
      </c>
      <c r="F22" s="4">
        <v>7</v>
      </c>
      <c r="G22" s="4">
        <v>26</v>
      </c>
      <c r="H22" s="8">
        <v>0.39730694064557293</v>
      </c>
      <c r="I22" s="4" t="s">
        <v>39</v>
      </c>
      <c r="J22" s="8">
        <v>0.60269305935442707</v>
      </c>
      <c r="K22" s="4" t="s">
        <v>194</v>
      </c>
      <c r="L22" s="4" t="s">
        <v>50</v>
      </c>
      <c r="M22" s="4" t="s">
        <v>50</v>
      </c>
      <c r="N22" s="4">
        <v>1</v>
      </c>
      <c r="O22" s="9">
        <v>20.211740109905939</v>
      </c>
      <c r="P22" s="15">
        <v>26.383452346648141</v>
      </c>
      <c r="Q22" s="4">
        <v>-3</v>
      </c>
      <c r="R22" s="9">
        <v>-6.1717122367422057</v>
      </c>
      <c r="S22" s="4" t="s">
        <v>138</v>
      </c>
      <c r="T22" s="4">
        <v>-19</v>
      </c>
      <c r="U22" s="4" t="s">
        <v>138</v>
      </c>
      <c r="V22" s="4">
        <v>1</v>
      </c>
      <c r="W22" s="4">
        <v>44.5</v>
      </c>
      <c r="X22" s="9">
        <v>46.595192456554066</v>
      </c>
      <c r="Y22" s="4" t="s">
        <v>140</v>
      </c>
      <c r="Z22" s="4">
        <v>33</v>
      </c>
      <c r="AA22" s="4" t="s">
        <v>141</v>
      </c>
      <c r="AB22" s="4">
        <v>0</v>
      </c>
      <c r="AC22" s="5">
        <v>-0.42424911676451221</v>
      </c>
      <c r="AD22" s="5">
        <v>-0.10006493491095469</v>
      </c>
      <c r="AE22" s="5">
        <v>3.5115478932857512E-2</v>
      </c>
      <c r="AF22" s="5">
        <v>0.10006493491095469</v>
      </c>
      <c r="AG22" s="5">
        <v>0.42424911676451221</v>
      </c>
      <c r="AH22" s="5">
        <v>-3.5115478932857512E-2</v>
      </c>
    </row>
    <row r="23" spans="2:34" x14ac:dyDescent="0.2">
      <c r="B23" s="4">
        <v>2025</v>
      </c>
      <c r="C23" s="4">
        <v>13</v>
      </c>
      <c r="D23" s="4" t="s">
        <v>52</v>
      </c>
      <c r="E23" s="4" t="s">
        <v>14</v>
      </c>
      <c r="F23" s="4">
        <v>26</v>
      </c>
      <c r="G23" s="4">
        <v>27</v>
      </c>
      <c r="H23" s="8">
        <v>0.37833675513830672</v>
      </c>
      <c r="I23" s="4" t="s">
        <v>195</v>
      </c>
      <c r="J23" s="8">
        <v>0.62166324486169333</v>
      </c>
      <c r="K23" s="4" t="s">
        <v>196</v>
      </c>
      <c r="L23" s="4" t="s">
        <v>14</v>
      </c>
      <c r="M23" s="4" t="s">
        <v>14</v>
      </c>
      <c r="N23" s="4">
        <v>1</v>
      </c>
      <c r="O23" s="9">
        <v>20.29185647762786</v>
      </c>
      <c r="P23" s="15">
        <v>25.954848263773609</v>
      </c>
      <c r="Q23" s="4">
        <v>-6.5</v>
      </c>
      <c r="R23" s="9">
        <v>-5.6629917861457528</v>
      </c>
      <c r="S23" s="4" t="s">
        <v>139</v>
      </c>
      <c r="T23" s="4">
        <v>-1</v>
      </c>
      <c r="U23" s="4" t="s">
        <v>139</v>
      </c>
      <c r="V23" s="4">
        <v>1</v>
      </c>
      <c r="W23" s="4">
        <v>43.5</v>
      </c>
      <c r="X23" s="9">
        <v>46.246704741401473</v>
      </c>
      <c r="Y23" s="4" t="s">
        <v>140</v>
      </c>
      <c r="Z23" s="4">
        <v>53</v>
      </c>
      <c r="AA23" s="4" t="s">
        <v>140</v>
      </c>
      <c r="AB23" s="4">
        <v>1</v>
      </c>
      <c r="AC23" s="5">
        <v>9.9916902455416595E-2</v>
      </c>
      <c r="AD23" s="5">
        <v>-0.15219854627336771</v>
      </c>
      <c r="AE23" s="5">
        <v>1.051500687996546E-2</v>
      </c>
      <c r="AF23" s="5">
        <v>0.15219854627336771</v>
      </c>
      <c r="AG23" s="5">
        <v>-9.9916902455416595E-2</v>
      </c>
      <c r="AH23" s="5">
        <v>-1.051500687996546E-2</v>
      </c>
    </row>
    <row r="24" spans="2:34" x14ac:dyDescent="0.2">
      <c r="B24" s="4">
        <v>2025</v>
      </c>
      <c r="C24" s="4">
        <v>13</v>
      </c>
      <c r="D24" s="4" t="s">
        <v>32</v>
      </c>
      <c r="E24" s="4" t="s">
        <v>10</v>
      </c>
      <c r="F24" s="4">
        <v>33</v>
      </c>
      <c r="G24" s="4">
        <v>15</v>
      </c>
      <c r="H24" s="8">
        <v>0.6888767985257922</v>
      </c>
      <c r="I24" s="4" t="s">
        <v>197</v>
      </c>
      <c r="J24" s="8">
        <v>0.3111232014742078</v>
      </c>
      <c r="K24" s="4" t="s">
        <v>198</v>
      </c>
      <c r="L24" s="4" t="s">
        <v>32</v>
      </c>
      <c r="M24" s="4" t="s">
        <v>32</v>
      </c>
      <c r="N24" s="4">
        <v>1</v>
      </c>
      <c r="O24" s="9">
        <v>29.212794798274679</v>
      </c>
      <c r="P24" s="15">
        <v>20.605659243440741</v>
      </c>
      <c r="Q24" s="4">
        <v>7</v>
      </c>
      <c r="R24" s="9">
        <v>8.6071355548339383</v>
      </c>
      <c r="S24" s="4" t="s">
        <v>139</v>
      </c>
      <c r="T24" s="4">
        <v>18</v>
      </c>
      <c r="U24" s="4" t="s">
        <v>139</v>
      </c>
      <c r="V24" s="4">
        <v>1</v>
      </c>
      <c r="W24" s="4">
        <v>46.5</v>
      </c>
      <c r="X24" s="9">
        <v>49.81845404171542</v>
      </c>
      <c r="Y24" s="4" t="s">
        <v>140</v>
      </c>
      <c r="Z24" s="4">
        <v>48</v>
      </c>
      <c r="AA24" s="4" t="s">
        <v>140</v>
      </c>
      <c r="AB24" s="4">
        <v>1</v>
      </c>
      <c r="AC24" s="5">
        <v>0.15040765489850719</v>
      </c>
      <c r="AD24" s="5">
        <v>9.7416504946621976E-2</v>
      </c>
      <c r="AE24" s="5">
        <v>0.19194484674013579</v>
      </c>
      <c r="AF24" s="5">
        <v>-9.7416504946621976E-2</v>
      </c>
      <c r="AG24" s="5">
        <v>-0.15040765489850719</v>
      </c>
      <c r="AH24" s="5">
        <v>-0.19194484674013579</v>
      </c>
    </row>
  </sheetData>
  <mergeCells count="6">
    <mergeCell ref="AF7:AH7"/>
    <mergeCell ref="H7:N7"/>
    <mergeCell ref="O7:P7"/>
    <mergeCell ref="Q7:V7"/>
    <mergeCell ref="W7:AB7"/>
    <mergeCell ref="AC7:AE7"/>
  </mergeCells>
  <conditionalFormatting sqref="AC9:AC2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9:AD2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9:AE2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9:AF2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9:AG2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9:AH2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ignoredErrors>
    <ignoredError sqref="I9:I24 K9:K24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0045535-50AB-FD43-BD0D-DA5C2BC9A4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N9:N24</xm:sqref>
        </x14:conditionalFormatting>
        <x14:conditionalFormatting xmlns:xm="http://schemas.microsoft.com/office/excel/2006/main">
          <x14:cfRule type="iconSet" priority="2" id="{7F3AA7BA-ACA0-A44B-A7C2-F377D285B9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V9:V24</xm:sqref>
        </x14:conditionalFormatting>
        <x14:conditionalFormatting xmlns:xm="http://schemas.microsoft.com/office/excel/2006/main">
          <x14:cfRule type="iconSet" priority="3" id="{76996824-64F7-F44B-9CF9-E228A6EF54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AB9:AB24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99A6-DB14-2A48-9B19-182C2194F0B5}">
  <dimension ref="B2:AH22"/>
  <sheetViews>
    <sheetView showGridLines="0" workbookViewId="0">
      <selection activeCell="L21" sqref="L21"/>
    </sheetView>
  </sheetViews>
  <sheetFormatPr baseColWidth="10" defaultRowHeight="15" x14ac:dyDescent="0.2"/>
  <cols>
    <col min="2" max="3" width="9.5" customWidth="1"/>
    <col min="4" max="4" width="10.5" bestFit="1" customWidth="1"/>
    <col min="5" max="5" width="9.83203125" bestFit="1" customWidth="1"/>
    <col min="6" max="6" width="10.6640625" bestFit="1" customWidth="1"/>
    <col min="7" max="7" width="9.83203125" customWidth="1"/>
    <col min="8" max="8" width="10.1640625" customWidth="1"/>
    <col min="9" max="9" width="13.33203125" customWidth="1"/>
    <col min="10" max="10" width="9.5" customWidth="1"/>
    <col min="11" max="11" width="12.6640625" customWidth="1"/>
    <col min="12" max="12" width="4.83203125" customWidth="1"/>
    <col min="13" max="13" width="6.6640625" customWidth="1"/>
    <col min="14" max="14" width="14" customWidth="1"/>
    <col min="15" max="16" width="11.6640625" customWidth="1"/>
    <col min="17" max="17" width="10.1640625" bestFit="1" customWidth="1"/>
    <col min="18" max="18" width="10.83203125" bestFit="1" customWidth="1"/>
    <col min="19" max="19" width="10.33203125" bestFit="1" customWidth="1"/>
    <col min="20" max="20" width="5.6640625" bestFit="1" customWidth="1"/>
    <col min="21" max="21" width="11.6640625" bestFit="1" customWidth="1"/>
    <col min="22" max="22" width="13.6640625" bestFit="1" customWidth="1"/>
    <col min="23" max="23" width="8.6640625" bestFit="1" customWidth="1"/>
    <col min="24" max="24" width="9.33203125" bestFit="1" customWidth="1"/>
    <col min="25" max="25" width="8.83203125" bestFit="1" customWidth="1"/>
    <col min="26" max="26" width="4.83203125" bestFit="1" customWidth="1"/>
    <col min="27" max="27" width="10.1640625" bestFit="1" customWidth="1"/>
    <col min="28" max="28" width="12.1640625" bestFit="1" customWidth="1"/>
    <col min="29" max="30" width="10.1640625" bestFit="1" customWidth="1"/>
    <col min="31" max="31" width="10.6640625" bestFit="1" customWidth="1"/>
    <col min="32" max="33" width="10.1640625" bestFit="1" customWidth="1"/>
    <col min="34" max="34" width="10.6640625" bestFit="1" customWidth="1"/>
  </cols>
  <sheetData>
    <row r="2" spans="2:34" x14ac:dyDescent="0.2">
      <c r="B2" s="7" t="s">
        <v>63</v>
      </c>
      <c r="C2" s="13">
        <f>COUNTA($C$9:$C$22)</f>
        <v>14</v>
      </c>
    </row>
    <row r="3" spans="2:34" x14ac:dyDescent="0.2">
      <c r="B3" s="7" t="s">
        <v>145</v>
      </c>
      <c r="C3" s="13">
        <f>SUM(N9:$N$22)</f>
        <v>8</v>
      </c>
      <c r="D3" s="14">
        <f>C3/$C$2</f>
        <v>0.5714285714285714</v>
      </c>
    </row>
    <row r="4" spans="2:34" x14ac:dyDescent="0.2">
      <c r="B4" s="7" t="s">
        <v>146</v>
      </c>
      <c r="C4" s="13">
        <f>SUM(V9:$V$22)</f>
        <v>8</v>
      </c>
      <c r="D4" s="14">
        <f t="shared" ref="D4:D5" si="0">C4/$C$2</f>
        <v>0.5714285714285714</v>
      </c>
    </row>
    <row r="5" spans="2:34" x14ac:dyDescent="0.2">
      <c r="B5" s="7" t="s">
        <v>147</v>
      </c>
      <c r="C5" s="13">
        <f>SUM(AB9:$AB$22)</f>
        <v>4</v>
      </c>
      <c r="D5" s="14">
        <f t="shared" si="0"/>
        <v>0.2857142857142857</v>
      </c>
    </row>
    <row r="6" spans="2:34" x14ac:dyDescent="0.2">
      <c r="C6" s="6"/>
    </row>
    <row r="7" spans="2:34" x14ac:dyDescent="0.2">
      <c r="H7" s="20" t="s">
        <v>142</v>
      </c>
      <c r="I7" s="20"/>
      <c r="J7" s="20"/>
      <c r="K7" s="20"/>
      <c r="L7" s="20"/>
      <c r="M7" s="20"/>
      <c r="N7" s="20"/>
      <c r="O7" s="20" t="s">
        <v>149</v>
      </c>
      <c r="P7" s="20"/>
      <c r="Q7" s="20" t="s">
        <v>143</v>
      </c>
      <c r="R7" s="20"/>
      <c r="S7" s="20"/>
      <c r="T7" s="20"/>
      <c r="U7" s="20"/>
      <c r="V7" s="20"/>
      <c r="W7" s="20" t="s">
        <v>144</v>
      </c>
      <c r="X7" s="20"/>
      <c r="Y7" s="20"/>
      <c r="Z7" s="20"/>
      <c r="AA7" s="20"/>
      <c r="AB7" s="20"/>
      <c r="AC7" s="20" t="s">
        <v>55</v>
      </c>
      <c r="AD7" s="20"/>
      <c r="AE7" s="20"/>
      <c r="AF7" s="20" t="s">
        <v>56</v>
      </c>
      <c r="AG7" s="20"/>
      <c r="AH7" s="20"/>
    </row>
    <row r="8" spans="2:34" x14ac:dyDescent="0.2">
      <c r="B8" s="1" t="s">
        <v>0</v>
      </c>
      <c r="C8" s="1" t="s">
        <v>1</v>
      </c>
      <c r="D8" s="1" t="s">
        <v>2</v>
      </c>
      <c r="E8" s="1" t="s">
        <v>3</v>
      </c>
      <c r="F8" s="1" t="s">
        <v>151</v>
      </c>
      <c r="G8" s="1" t="s">
        <v>152</v>
      </c>
      <c r="H8" s="1" t="s">
        <v>4</v>
      </c>
      <c r="I8" s="1" t="s">
        <v>7</v>
      </c>
      <c r="J8" s="1" t="s">
        <v>5</v>
      </c>
      <c r="K8" s="1" t="s">
        <v>8</v>
      </c>
      <c r="L8" s="1" t="s">
        <v>6</v>
      </c>
      <c r="M8" s="1" t="s">
        <v>9</v>
      </c>
      <c r="N8" s="1" t="s">
        <v>129</v>
      </c>
      <c r="O8" s="1" t="s">
        <v>139</v>
      </c>
      <c r="P8" s="1" t="s">
        <v>138</v>
      </c>
      <c r="Q8" s="1" t="s">
        <v>126</v>
      </c>
      <c r="R8" s="1" t="s">
        <v>127</v>
      </c>
      <c r="S8" s="1" t="s">
        <v>130</v>
      </c>
      <c r="T8" s="1" t="s">
        <v>131</v>
      </c>
      <c r="U8" s="1" t="s">
        <v>132</v>
      </c>
      <c r="V8" s="1" t="s">
        <v>133</v>
      </c>
      <c r="W8" s="1" t="s">
        <v>128</v>
      </c>
      <c r="X8" s="1" t="s">
        <v>148</v>
      </c>
      <c r="Y8" s="1" t="s">
        <v>134</v>
      </c>
      <c r="Z8" s="1" t="s">
        <v>135</v>
      </c>
      <c r="AA8" s="1" t="s">
        <v>136</v>
      </c>
      <c r="AB8" s="1" t="s">
        <v>137</v>
      </c>
      <c r="AC8" s="1" t="s">
        <v>57</v>
      </c>
      <c r="AD8" s="1" t="s">
        <v>58</v>
      </c>
      <c r="AE8" s="1" t="s">
        <v>59</v>
      </c>
      <c r="AF8" s="1" t="s">
        <v>57</v>
      </c>
      <c r="AG8" s="1" t="s">
        <v>58</v>
      </c>
      <c r="AH8" s="1" t="s">
        <v>59</v>
      </c>
    </row>
    <row r="9" spans="2:34" x14ac:dyDescent="0.2">
      <c r="B9" s="4">
        <v>2025</v>
      </c>
      <c r="C9" s="4">
        <v>14</v>
      </c>
      <c r="D9" s="4" t="s">
        <v>47</v>
      </c>
      <c r="E9" s="4" t="s">
        <v>20</v>
      </c>
      <c r="F9" s="4">
        <v>44</v>
      </c>
      <c r="G9" s="4">
        <v>30</v>
      </c>
      <c r="H9" s="8">
        <v>0.51872586974214685</v>
      </c>
      <c r="I9" s="4" t="s">
        <v>170</v>
      </c>
      <c r="J9" s="8">
        <v>0.48127413025785309</v>
      </c>
      <c r="K9" s="4" t="s">
        <v>72</v>
      </c>
      <c r="L9" s="4" t="s">
        <v>47</v>
      </c>
      <c r="M9" s="4" t="s">
        <v>47</v>
      </c>
      <c r="N9" s="4">
        <v>1</v>
      </c>
      <c r="O9" s="15">
        <v>26.082421122049201</v>
      </c>
      <c r="P9" s="15">
        <v>23.23212581345059</v>
      </c>
      <c r="Q9" s="4">
        <v>3.5</v>
      </c>
      <c r="R9" s="15">
        <v>2.8502953085986178</v>
      </c>
      <c r="S9" s="4" t="s">
        <v>138</v>
      </c>
      <c r="T9" s="4">
        <v>14</v>
      </c>
      <c r="U9" s="4" t="s">
        <v>139</v>
      </c>
      <c r="V9" s="4">
        <v>0</v>
      </c>
      <c r="W9" s="4">
        <v>55.5</v>
      </c>
      <c r="X9" s="9">
        <v>49.314546935499791</v>
      </c>
      <c r="Y9" s="4" t="s">
        <v>141</v>
      </c>
      <c r="Z9" s="4">
        <v>74</v>
      </c>
      <c r="AA9" s="4" t="s">
        <v>140</v>
      </c>
      <c r="AB9" s="4">
        <v>0</v>
      </c>
      <c r="AC9" s="5">
        <v>0.2641339619954427</v>
      </c>
      <c r="AD9" s="5">
        <v>6.7213211530520595E-2</v>
      </c>
      <c r="AE9" s="5">
        <v>-0.22207884107317241</v>
      </c>
      <c r="AF9" s="5">
        <v>-6.7213211530520595E-2</v>
      </c>
      <c r="AG9" s="5">
        <v>-0.2641339619954427</v>
      </c>
      <c r="AH9" s="5">
        <v>0.22207884107317241</v>
      </c>
    </row>
    <row r="10" spans="2:34" x14ac:dyDescent="0.2">
      <c r="B10" s="4">
        <v>2025</v>
      </c>
      <c r="C10" s="4">
        <v>14</v>
      </c>
      <c r="D10" s="4" t="s">
        <v>49</v>
      </c>
      <c r="E10" s="4" t="s">
        <v>26</v>
      </c>
      <c r="F10" s="4">
        <v>9</v>
      </c>
      <c r="G10" s="4">
        <v>37</v>
      </c>
      <c r="H10" s="8">
        <v>0.41498900290638502</v>
      </c>
      <c r="I10" s="4" t="s">
        <v>74</v>
      </c>
      <c r="J10" s="8">
        <v>0.58501099709361504</v>
      </c>
      <c r="K10" s="4" t="s">
        <v>153</v>
      </c>
      <c r="L10" s="4" t="s">
        <v>26</v>
      </c>
      <c r="M10" s="4" t="s">
        <v>26</v>
      </c>
      <c r="N10" s="4">
        <v>1</v>
      </c>
      <c r="O10" s="15">
        <v>21.281556408156519</v>
      </c>
      <c r="P10" s="15">
        <v>22.920687871562979</v>
      </c>
      <c r="Q10" s="4">
        <v>-7</v>
      </c>
      <c r="R10" s="15">
        <v>-1.639131463406464</v>
      </c>
      <c r="S10" s="4" t="s">
        <v>139</v>
      </c>
      <c r="T10" s="4">
        <v>-28</v>
      </c>
      <c r="U10" s="4" t="s">
        <v>138</v>
      </c>
      <c r="V10" s="4">
        <v>0</v>
      </c>
      <c r="W10" s="4">
        <v>44.5</v>
      </c>
      <c r="X10" s="9">
        <v>44.202244279719501</v>
      </c>
      <c r="Y10" s="4" t="s">
        <v>141</v>
      </c>
      <c r="Z10" s="4">
        <v>46</v>
      </c>
      <c r="AA10" s="4" t="s">
        <v>140</v>
      </c>
      <c r="AB10" s="4">
        <v>0</v>
      </c>
      <c r="AC10" s="5">
        <v>-0.2973821759223938</v>
      </c>
      <c r="AD10" s="5">
        <v>-0.1188917550884309</v>
      </c>
      <c r="AE10" s="5">
        <v>-0.25661842028299969</v>
      </c>
      <c r="AF10" s="5">
        <v>0.1188917550884309</v>
      </c>
      <c r="AG10" s="5">
        <v>0.2973821759223938</v>
      </c>
      <c r="AH10" s="5">
        <v>0.25661842028299969</v>
      </c>
    </row>
    <row r="11" spans="2:34" x14ac:dyDescent="0.2">
      <c r="B11" s="4">
        <v>2025</v>
      </c>
      <c r="C11" s="4">
        <v>14</v>
      </c>
      <c r="D11" s="4" t="s">
        <v>16</v>
      </c>
      <c r="E11" s="4" t="s">
        <v>34</v>
      </c>
      <c r="F11" s="4">
        <v>22</v>
      </c>
      <c r="G11" s="4">
        <v>27</v>
      </c>
      <c r="H11" s="8">
        <v>0.56606634291720703</v>
      </c>
      <c r="I11" s="4" t="s">
        <v>199</v>
      </c>
      <c r="J11" s="8">
        <v>0.43393365708279302</v>
      </c>
      <c r="K11" s="4" t="s">
        <v>200</v>
      </c>
      <c r="L11" s="4" t="s">
        <v>16</v>
      </c>
      <c r="M11" s="4" t="s">
        <v>34</v>
      </c>
      <c r="N11" s="4">
        <v>0</v>
      </c>
      <c r="O11" s="15">
        <v>20.586488304350539</v>
      </c>
      <c r="P11" s="15">
        <v>17.640015408147601</v>
      </c>
      <c r="Q11" s="4">
        <v>5.5</v>
      </c>
      <c r="R11" s="9">
        <v>2.9464728962029381</v>
      </c>
      <c r="S11" s="4" t="s">
        <v>138</v>
      </c>
      <c r="T11" s="4">
        <v>-5</v>
      </c>
      <c r="U11" s="4" t="s">
        <v>138</v>
      </c>
      <c r="V11" s="4">
        <v>1</v>
      </c>
      <c r="W11" s="4">
        <v>43.5</v>
      </c>
      <c r="X11" s="9">
        <v>38.226503712498143</v>
      </c>
      <c r="Y11" s="4" t="s">
        <v>141</v>
      </c>
      <c r="Z11" s="4">
        <v>49</v>
      </c>
      <c r="AA11" s="4" t="s">
        <v>140</v>
      </c>
      <c r="AB11" s="4">
        <v>0</v>
      </c>
      <c r="AC11" s="5">
        <v>2.4042957868331521E-2</v>
      </c>
      <c r="AD11" s="5">
        <v>-0.24276742748185701</v>
      </c>
      <c r="AE11" s="5">
        <v>4.1653892823628018E-2</v>
      </c>
      <c r="AF11" s="5">
        <v>0.24276742748185701</v>
      </c>
      <c r="AG11" s="5">
        <v>-2.4042957868331521E-2</v>
      </c>
      <c r="AH11" s="5">
        <v>-4.1653892823628018E-2</v>
      </c>
    </row>
    <row r="12" spans="2:34" x14ac:dyDescent="0.2">
      <c r="B12" s="4">
        <v>2025</v>
      </c>
      <c r="C12" s="4">
        <v>14</v>
      </c>
      <c r="D12" s="4" t="s">
        <v>50</v>
      </c>
      <c r="E12" s="4" t="s">
        <v>41</v>
      </c>
      <c r="F12" s="4">
        <v>39</v>
      </c>
      <c r="G12" s="4">
        <v>34</v>
      </c>
      <c r="H12" s="8">
        <v>0.64344730114031246</v>
      </c>
      <c r="I12" s="4" t="s">
        <v>201</v>
      </c>
      <c r="J12" s="8">
        <v>0.35655269885968749</v>
      </c>
      <c r="K12" s="4" t="s">
        <v>202</v>
      </c>
      <c r="L12" s="4" t="s">
        <v>50</v>
      </c>
      <c r="M12" s="4" t="s">
        <v>50</v>
      </c>
      <c r="N12" s="4">
        <v>1</v>
      </c>
      <c r="O12" s="15">
        <v>25.81515874475074</v>
      </c>
      <c r="P12" s="15">
        <v>22.745751219596269</v>
      </c>
      <c r="Q12" s="4">
        <v>6</v>
      </c>
      <c r="R12" s="9">
        <v>3.069407525154475</v>
      </c>
      <c r="S12" s="4" t="s">
        <v>138</v>
      </c>
      <c r="T12" s="4">
        <v>5</v>
      </c>
      <c r="U12" s="4" t="s">
        <v>138</v>
      </c>
      <c r="V12" s="4">
        <v>1</v>
      </c>
      <c r="W12" s="4">
        <v>54.5</v>
      </c>
      <c r="X12" s="9">
        <v>48.560909964347012</v>
      </c>
      <c r="Y12" s="4" t="s">
        <v>141</v>
      </c>
      <c r="Z12" s="4">
        <v>73</v>
      </c>
      <c r="AA12" s="4" t="s">
        <v>140</v>
      </c>
      <c r="AB12" s="4">
        <v>0</v>
      </c>
      <c r="AC12" s="5">
        <v>0.26668303807576499</v>
      </c>
      <c r="AD12" s="5">
        <v>-0.187973701347739</v>
      </c>
      <c r="AE12" s="5">
        <v>-1.9132118958693281E-2</v>
      </c>
      <c r="AF12" s="5">
        <v>0.187973701347739</v>
      </c>
      <c r="AG12" s="5">
        <v>-0.26668303807576499</v>
      </c>
      <c r="AH12" s="5">
        <v>1.9132118958693281E-2</v>
      </c>
    </row>
    <row r="13" spans="2:34" x14ac:dyDescent="0.2">
      <c r="B13" s="4">
        <v>2025</v>
      </c>
      <c r="C13" s="4">
        <v>14</v>
      </c>
      <c r="D13" s="4" t="s">
        <v>35</v>
      </c>
      <c r="E13" s="4" t="s">
        <v>38</v>
      </c>
      <c r="F13" s="4">
        <v>29</v>
      </c>
      <c r="G13" s="4">
        <v>31</v>
      </c>
      <c r="H13" s="8">
        <v>0.61064355659787484</v>
      </c>
      <c r="I13" s="4" t="s">
        <v>203</v>
      </c>
      <c r="J13" s="8">
        <v>0.38935644340212522</v>
      </c>
      <c r="K13" s="4" t="s">
        <v>204</v>
      </c>
      <c r="L13" s="4" t="s">
        <v>35</v>
      </c>
      <c r="M13" s="4" t="s">
        <v>38</v>
      </c>
      <c r="N13" s="4">
        <v>0</v>
      </c>
      <c r="O13" s="15">
        <v>21.745571355545529</v>
      </c>
      <c r="P13" s="15">
        <v>19.382764623152521</v>
      </c>
      <c r="Q13" s="4">
        <v>4.5</v>
      </c>
      <c r="R13" s="9">
        <v>2.362806732393008</v>
      </c>
      <c r="S13" s="4" t="s">
        <v>138</v>
      </c>
      <c r="T13" s="4">
        <v>-2</v>
      </c>
      <c r="U13" s="4" t="s">
        <v>138</v>
      </c>
      <c r="V13" s="4">
        <v>1</v>
      </c>
      <c r="W13" s="4">
        <v>33.5</v>
      </c>
      <c r="X13" s="9">
        <v>41.128335978698047</v>
      </c>
      <c r="Y13" s="4" t="s">
        <v>140</v>
      </c>
      <c r="Z13" s="4">
        <v>60</v>
      </c>
      <c r="AA13" s="4" t="s">
        <v>140</v>
      </c>
      <c r="AB13" s="4">
        <v>1</v>
      </c>
      <c r="AC13" s="5">
        <v>-2.806742867427086E-2</v>
      </c>
      <c r="AD13" s="5">
        <v>0.10117867498686819</v>
      </c>
      <c r="AE13" s="5">
        <v>-0.27779840778660131</v>
      </c>
      <c r="AF13" s="5">
        <v>-0.10117867498686819</v>
      </c>
      <c r="AG13" s="5">
        <v>2.806742867427086E-2</v>
      </c>
      <c r="AH13" s="5">
        <v>0.27779840778660131</v>
      </c>
    </row>
    <row r="14" spans="2:34" x14ac:dyDescent="0.2">
      <c r="B14" s="4">
        <v>2025</v>
      </c>
      <c r="C14" s="4">
        <v>14</v>
      </c>
      <c r="D14" s="4" t="s">
        <v>25</v>
      </c>
      <c r="E14" s="4" t="s">
        <v>22</v>
      </c>
      <c r="F14" s="4">
        <v>36</v>
      </c>
      <c r="G14" s="4">
        <v>19</v>
      </c>
      <c r="H14" s="8">
        <v>0.44249000306642372</v>
      </c>
      <c r="I14" s="4" t="s">
        <v>205</v>
      </c>
      <c r="J14" s="8">
        <v>0.55750999693357639</v>
      </c>
      <c r="K14" s="4" t="s">
        <v>206</v>
      </c>
      <c r="L14" s="4" t="s">
        <v>22</v>
      </c>
      <c r="M14" s="4" t="s">
        <v>25</v>
      </c>
      <c r="N14" s="4">
        <v>0</v>
      </c>
      <c r="O14" s="15">
        <v>23.558138792925071</v>
      </c>
      <c r="P14" s="15">
        <v>22.157250809323219</v>
      </c>
      <c r="Q14" s="4">
        <v>-2.5</v>
      </c>
      <c r="R14" s="15">
        <v>1.4008879836018551</v>
      </c>
      <c r="S14" s="4" t="s">
        <v>139</v>
      </c>
      <c r="T14" s="4">
        <v>17</v>
      </c>
      <c r="U14" s="4" t="s">
        <v>139</v>
      </c>
      <c r="V14" s="4">
        <v>1</v>
      </c>
      <c r="W14" s="4">
        <v>44.5</v>
      </c>
      <c r="X14" s="9">
        <v>45.715389602248287</v>
      </c>
      <c r="Y14" s="4" t="s">
        <v>140</v>
      </c>
      <c r="Z14" s="4">
        <v>55</v>
      </c>
      <c r="AA14" s="4" t="s">
        <v>140</v>
      </c>
      <c r="AB14" s="4">
        <v>1</v>
      </c>
      <c r="AC14" s="5">
        <v>6.9307522695572651E-2</v>
      </c>
      <c r="AD14" s="5">
        <v>0.1406877742094152</v>
      </c>
      <c r="AE14" s="5">
        <v>0.1256219148635864</v>
      </c>
      <c r="AF14" s="5">
        <v>-0.1406877742094152</v>
      </c>
      <c r="AG14" s="5">
        <v>-6.9307522695572651E-2</v>
      </c>
      <c r="AH14" s="5">
        <v>-0.1256219148635864</v>
      </c>
    </row>
    <row r="15" spans="2:34" x14ac:dyDescent="0.2">
      <c r="B15" s="4">
        <v>2025</v>
      </c>
      <c r="C15" s="4">
        <v>14</v>
      </c>
      <c r="D15" s="4" t="s">
        <v>77</v>
      </c>
      <c r="E15" s="4" t="s">
        <v>52</v>
      </c>
      <c r="F15" s="4">
        <v>31</v>
      </c>
      <c r="G15" s="4">
        <v>0</v>
      </c>
      <c r="H15" s="8">
        <v>0.38445518210763951</v>
      </c>
      <c r="I15" s="4" t="s">
        <v>98</v>
      </c>
      <c r="J15" s="8">
        <v>0.61554481789236049</v>
      </c>
      <c r="K15" s="4" t="s">
        <v>207</v>
      </c>
      <c r="L15" s="4" t="s">
        <v>52</v>
      </c>
      <c r="M15" s="4" t="s">
        <v>77</v>
      </c>
      <c r="N15" s="4">
        <v>0</v>
      </c>
      <c r="O15" s="15">
        <v>20.682521724811011</v>
      </c>
      <c r="P15" s="15">
        <v>22.82301635712933</v>
      </c>
      <c r="Q15" s="4">
        <v>-1.5</v>
      </c>
      <c r="R15" s="9">
        <v>-2.140494632318322</v>
      </c>
      <c r="S15" s="4" t="s">
        <v>138</v>
      </c>
      <c r="T15" s="4">
        <v>31</v>
      </c>
      <c r="U15" s="4" t="s">
        <v>139</v>
      </c>
      <c r="V15" s="4">
        <v>0</v>
      </c>
      <c r="W15" s="4">
        <v>43.5</v>
      </c>
      <c r="X15" s="9">
        <v>43.505538081940337</v>
      </c>
      <c r="Y15" s="4" t="s">
        <v>140</v>
      </c>
      <c r="Z15" s="4">
        <v>31</v>
      </c>
      <c r="AA15" s="4" t="s">
        <v>141</v>
      </c>
      <c r="AB15" s="4">
        <v>0</v>
      </c>
      <c r="AC15" s="5">
        <v>0.30457706451416022</v>
      </c>
      <c r="AD15" s="5">
        <v>0.37201723685631383</v>
      </c>
      <c r="AE15" s="5">
        <v>0.2078226953744888</v>
      </c>
      <c r="AF15" s="5">
        <v>-0.37201723685631383</v>
      </c>
      <c r="AG15" s="5">
        <v>-0.30457706451416022</v>
      </c>
      <c r="AH15" s="5">
        <v>-0.2078226953744888</v>
      </c>
    </row>
    <row r="16" spans="2:34" x14ac:dyDescent="0.2">
      <c r="B16" s="4">
        <v>2025</v>
      </c>
      <c r="C16" s="4">
        <v>14</v>
      </c>
      <c r="D16" s="4" t="s">
        <v>13</v>
      </c>
      <c r="E16" s="4" t="s">
        <v>28</v>
      </c>
      <c r="F16" s="4">
        <v>10</v>
      </c>
      <c r="G16" s="4">
        <v>34</v>
      </c>
      <c r="H16" s="8">
        <v>0.47827311700536812</v>
      </c>
      <c r="I16" s="4" t="s">
        <v>208</v>
      </c>
      <c r="J16" s="8">
        <v>0.52172688299463199</v>
      </c>
      <c r="K16" s="4" t="s">
        <v>209</v>
      </c>
      <c r="L16" s="4" t="s">
        <v>28</v>
      </c>
      <c r="M16" s="4" t="s">
        <v>28</v>
      </c>
      <c r="N16" s="4">
        <v>1</v>
      </c>
      <c r="O16" s="15">
        <v>23.31364207408232</v>
      </c>
      <c r="P16" s="15">
        <v>23.38174447974518</v>
      </c>
      <c r="Q16" s="4">
        <v>-2.5</v>
      </c>
      <c r="R16" s="15">
        <v>-6.8102405662859411E-2</v>
      </c>
      <c r="S16" s="4" t="s">
        <v>139</v>
      </c>
      <c r="T16" s="4">
        <v>-24</v>
      </c>
      <c r="U16" s="4" t="s">
        <v>138</v>
      </c>
      <c r="V16" s="4">
        <v>0</v>
      </c>
      <c r="W16" s="4">
        <v>41.5</v>
      </c>
      <c r="X16" s="9">
        <v>46.695386553827497</v>
      </c>
      <c r="Y16" s="4" t="s">
        <v>140</v>
      </c>
      <c r="Z16" s="4">
        <v>44</v>
      </c>
      <c r="AA16" s="4" t="s">
        <v>140</v>
      </c>
      <c r="AB16" s="4">
        <v>1</v>
      </c>
      <c r="AC16" s="5">
        <v>-0.40068050966424462</v>
      </c>
      <c r="AD16" s="5">
        <v>-0.21568928067646331</v>
      </c>
      <c r="AE16" s="5">
        <v>0.16751027504603069</v>
      </c>
      <c r="AF16" s="5">
        <v>0.21568928067646331</v>
      </c>
      <c r="AG16" s="5">
        <v>0.40068050966424462</v>
      </c>
      <c r="AH16" s="5">
        <v>-0.16751027504603069</v>
      </c>
    </row>
    <row r="17" spans="2:34" x14ac:dyDescent="0.2">
      <c r="B17" s="4">
        <v>2025</v>
      </c>
      <c r="C17" s="4">
        <v>14</v>
      </c>
      <c r="D17" s="4" t="s">
        <v>43</v>
      </c>
      <c r="E17" s="4" t="s">
        <v>31</v>
      </c>
      <c r="F17" s="4">
        <v>20</v>
      </c>
      <c r="G17" s="4">
        <v>24</v>
      </c>
      <c r="H17" s="8">
        <v>0.65998997864793829</v>
      </c>
      <c r="I17" s="4" t="s">
        <v>210</v>
      </c>
      <c r="J17" s="8">
        <v>0.34001002135206171</v>
      </c>
      <c r="K17" s="4" t="s">
        <v>211</v>
      </c>
      <c r="L17" s="4" t="s">
        <v>43</v>
      </c>
      <c r="M17" s="4" t="s">
        <v>31</v>
      </c>
      <c r="N17" s="4">
        <v>0</v>
      </c>
      <c r="O17" s="15">
        <v>24.01809321828236</v>
      </c>
      <c r="P17" s="15">
        <v>17.234152513095399</v>
      </c>
      <c r="Q17" s="4">
        <v>7.5</v>
      </c>
      <c r="R17" s="9">
        <v>6.7839407051869571</v>
      </c>
      <c r="S17" s="4" t="s">
        <v>138</v>
      </c>
      <c r="T17" s="4">
        <v>-4</v>
      </c>
      <c r="U17" s="4" t="s">
        <v>138</v>
      </c>
      <c r="V17" s="4">
        <v>1</v>
      </c>
      <c r="W17" s="4">
        <v>41.5</v>
      </c>
      <c r="X17" s="9">
        <v>41.252245731377762</v>
      </c>
      <c r="Y17" s="4" t="s">
        <v>141</v>
      </c>
      <c r="Z17" s="4">
        <v>44</v>
      </c>
      <c r="AA17" s="4" t="s">
        <v>140</v>
      </c>
      <c r="AB17" s="4">
        <v>0</v>
      </c>
      <c r="AC17" s="5">
        <v>-0.14934490822456981</v>
      </c>
      <c r="AD17" s="5">
        <v>-1.1082674775804791E-3</v>
      </c>
      <c r="AE17" s="5">
        <v>8.6620735085528824E-2</v>
      </c>
      <c r="AF17" s="5">
        <v>1.1082674775804791E-3</v>
      </c>
      <c r="AG17" s="5">
        <v>0.14934490822456981</v>
      </c>
      <c r="AH17" s="5">
        <v>-8.6620735085528824E-2</v>
      </c>
    </row>
    <row r="18" spans="2:34" x14ac:dyDescent="0.2">
      <c r="B18" s="4">
        <v>2025</v>
      </c>
      <c r="C18" s="4">
        <v>14</v>
      </c>
      <c r="D18" s="4" t="s">
        <v>37</v>
      </c>
      <c r="E18" s="4" t="s">
        <v>14</v>
      </c>
      <c r="F18" s="4">
        <v>17</v>
      </c>
      <c r="G18" s="4">
        <v>24</v>
      </c>
      <c r="H18" s="8">
        <v>0.2366009774534466</v>
      </c>
      <c r="I18" s="4" t="s">
        <v>212</v>
      </c>
      <c r="J18" s="8">
        <v>0.76339902254655334</v>
      </c>
      <c r="K18" s="4" t="s">
        <v>213</v>
      </c>
      <c r="L18" s="4" t="s">
        <v>14</v>
      </c>
      <c r="M18" s="4" t="s">
        <v>14</v>
      </c>
      <c r="N18" s="4">
        <v>1</v>
      </c>
      <c r="O18" s="15">
        <v>13.824416276482729</v>
      </c>
      <c r="P18" s="15">
        <v>25.89895427149396</v>
      </c>
      <c r="Q18" s="4">
        <v>-8.5</v>
      </c>
      <c r="R18" s="9">
        <v>-12.074537995011219</v>
      </c>
      <c r="S18" s="4" t="s">
        <v>138</v>
      </c>
      <c r="T18" s="4">
        <v>-7</v>
      </c>
      <c r="U18" s="4" t="s">
        <v>139</v>
      </c>
      <c r="V18" s="4">
        <v>0</v>
      </c>
      <c r="W18" s="4">
        <v>40.5</v>
      </c>
      <c r="X18" s="9">
        <v>39.723370547976693</v>
      </c>
      <c r="Y18" s="4" t="s">
        <v>141</v>
      </c>
      <c r="Z18" s="4">
        <v>41</v>
      </c>
      <c r="AA18" s="4" t="s">
        <v>140</v>
      </c>
      <c r="AB18" s="4">
        <v>0</v>
      </c>
      <c r="AC18" s="5">
        <v>1.238377571105957E-2</v>
      </c>
      <c r="AD18" s="5">
        <v>-0.1455832816459037</v>
      </c>
      <c r="AE18" s="5">
        <v>-5.2487238457328403E-2</v>
      </c>
      <c r="AF18" s="5">
        <v>0.1455832816459037</v>
      </c>
      <c r="AG18" s="5">
        <v>-1.238377571105957E-2</v>
      </c>
      <c r="AH18" s="5">
        <v>5.2487238457328403E-2</v>
      </c>
    </row>
    <row r="19" spans="2:34" x14ac:dyDescent="0.2">
      <c r="B19" s="4">
        <v>2025</v>
      </c>
      <c r="C19" s="4">
        <v>14</v>
      </c>
      <c r="D19" s="4" t="s">
        <v>23</v>
      </c>
      <c r="E19" s="4" t="s">
        <v>17</v>
      </c>
      <c r="F19" s="4">
        <v>17</v>
      </c>
      <c r="G19" s="4">
        <v>45</v>
      </c>
      <c r="H19" s="8">
        <v>0.2543071218872075</v>
      </c>
      <c r="I19" s="4" t="s">
        <v>214</v>
      </c>
      <c r="J19" s="8">
        <v>0.7456928781127925</v>
      </c>
      <c r="K19" s="4" t="s">
        <v>215</v>
      </c>
      <c r="L19" s="4" t="s">
        <v>17</v>
      </c>
      <c r="M19" s="4" t="s">
        <v>17</v>
      </c>
      <c r="N19" s="4">
        <v>1</v>
      </c>
      <c r="O19" s="15">
        <v>16.828829019756881</v>
      </c>
      <c r="P19" s="15">
        <v>26.52248276866775</v>
      </c>
      <c r="Q19" s="4">
        <v>-9.5</v>
      </c>
      <c r="R19" s="15">
        <v>-9.6936537489108652</v>
      </c>
      <c r="S19" s="4" t="s">
        <v>138</v>
      </c>
      <c r="T19" s="4">
        <v>-28</v>
      </c>
      <c r="U19" s="4" t="s">
        <v>138</v>
      </c>
      <c r="V19" s="4">
        <v>1</v>
      </c>
      <c r="W19" s="4">
        <v>49.5</v>
      </c>
      <c r="X19" s="9">
        <v>43.351311788424617</v>
      </c>
      <c r="Y19" s="4" t="s">
        <v>141</v>
      </c>
      <c r="Z19" s="4">
        <v>62</v>
      </c>
      <c r="AA19" s="4" t="s">
        <v>140</v>
      </c>
      <c r="AB19" s="4">
        <v>0</v>
      </c>
      <c r="AC19" s="5">
        <v>-7.8832572506320087E-2</v>
      </c>
      <c r="AD19" s="5">
        <v>-0.43546619699962102</v>
      </c>
      <c r="AE19" s="5">
        <v>-2.7752737845143961E-2</v>
      </c>
      <c r="AF19" s="5">
        <v>0.43546619699962102</v>
      </c>
      <c r="AG19" s="5">
        <v>7.8832572506320087E-2</v>
      </c>
      <c r="AH19" s="5">
        <v>2.7752737845143961E-2</v>
      </c>
    </row>
    <row r="20" spans="2:34" x14ac:dyDescent="0.2">
      <c r="B20" s="4">
        <v>2025</v>
      </c>
      <c r="C20" s="4">
        <v>14</v>
      </c>
      <c r="D20" s="4" t="s">
        <v>40</v>
      </c>
      <c r="E20" s="4" t="s">
        <v>53</v>
      </c>
      <c r="F20" s="4">
        <v>28</v>
      </c>
      <c r="G20" s="4">
        <v>21</v>
      </c>
      <c r="H20" s="8">
        <v>0.61412239240691768</v>
      </c>
      <c r="I20" s="4" t="s">
        <v>216</v>
      </c>
      <c r="J20" s="8">
        <v>0.38587760759308232</v>
      </c>
      <c r="K20" s="4" t="s">
        <v>217</v>
      </c>
      <c r="L20" s="4" t="s">
        <v>40</v>
      </c>
      <c r="M20" s="4" t="s">
        <v>40</v>
      </c>
      <c r="N20" s="4">
        <v>1</v>
      </c>
      <c r="O20" s="15">
        <v>24.651050080501729</v>
      </c>
      <c r="P20" s="15">
        <v>21.08481265992522</v>
      </c>
      <c r="Q20" s="4">
        <v>6.5</v>
      </c>
      <c r="R20" s="9">
        <v>3.5662374205765102</v>
      </c>
      <c r="S20" s="4" t="s">
        <v>138</v>
      </c>
      <c r="T20" s="4">
        <v>7</v>
      </c>
      <c r="U20" s="4" t="s">
        <v>139</v>
      </c>
      <c r="V20" s="4">
        <v>0</v>
      </c>
      <c r="W20" s="4">
        <v>44.5</v>
      </c>
      <c r="X20" s="9">
        <v>45.735862740426953</v>
      </c>
      <c r="Y20" s="4" t="s">
        <v>140</v>
      </c>
      <c r="Z20" s="4">
        <v>49</v>
      </c>
      <c r="AA20" s="4" t="s">
        <v>140</v>
      </c>
      <c r="AB20" s="4">
        <v>1</v>
      </c>
      <c r="AC20" s="5">
        <v>0.20429644217857951</v>
      </c>
      <c r="AD20" s="5">
        <v>-7.2044268898341965E-2</v>
      </c>
      <c r="AE20" s="5">
        <v>-3.9545507431030268E-2</v>
      </c>
      <c r="AF20" s="5">
        <v>7.2044268898341965E-2</v>
      </c>
      <c r="AG20" s="5">
        <v>-0.20429644217857951</v>
      </c>
      <c r="AH20" s="5">
        <v>3.9545507431030268E-2</v>
      </c>
    </row>
    <row r="21" spans="2:34" x14ac:dyDescent="0.2">
      <c r="B21" s="4">
        <v>2025</v>
      </c>
      <c r="C21" s="4">
        <v>14</v>
      </c>
      <c r="D21" s="4" t="s">
        <v>46</v>
      </c>
      <c r="E21" s="4" t="s">
        <v>85</v>
      </c>
      <c r="F21" s="4">
        <v>10</v>
      </c>
      <c r="G21" s="4">
        <v>20</v>
      </c>
      <c r="H21" s="8">
        <v>0.58521779221591275</v>
      </c>
      <c r="I21" s="4" t="s">
        <v>218</v>
      </c>
      <c r="J21" s="8">
        <v>0.41478220778408731</v>
      </c>
      <c r="K21" s="4" t="s">
        <v>219</v>
      </c>
      <c r="L21" s="4" t="s">
        <v>46</v>
      </c>
      <c r="M21" s="4" t="s">
        <v>85</v>
      </c>
      <c r="N21" s="4">
        <v>0</v>
      </c>
      <c r="O21" s="15">
        <v>24.503425116822331</v>
      </c>
      <c r="P21" s="15">
        <v>21.018607733612999</v>
      </c>
      <c r="Q21" s="4">
        <v>4.5</v>
      </c>
      <c r="R21" s="9">
        <v>3.484817383209339</v>
      </c>
      <c r="S21" s="4" t="s">
        <v>138</v>
      </c>
      <c r="T21" s="4">
        <v>-10</v>
      </c>
      <c r="U21" s="4" t="s">
        <v>138</v>
      </c>
      <c r="V21" s="4">
        <v>1</v>
      </c>
      <c r="W21" s="4">
        <v>41.5</v>
      </c>
      <c r="X21" s="9">
        <v>45.52203285043533</v>
      </c>
      <c r="Y21" s="4" t="s">
        <v>140</v>
      </c>
      <c r="Z21" s="4">
        <v>30</v>
      </c>
      <c r="AA21" s="4" t="s">
        <v>141</v>
      </c>
      <c r="AB21" s="4">
        <v>0</v>
      </c>
      <c r="AC21" s="5">
        <v>-0.29289536249069942</v>
      </c>
      <c r="AD21" s="5">
        <v>6.7336961201259066E-2</v>
      </c>
      <c r="AE21" s="5">
        <v>-1.6681918391474971E-2</v>
      </c>
      <c r="AF21" s="5">
        <v>-6.7336961201259066E-2</v>
      </c>
      <c r="AG21" s="5">
        <v>0.29289536249069942</v>
      </c>
      <c r="AH21" s="5">
        <v>1.6681918391474971E-2</v>
      </c>
    </row>
    <row r="22" spans="2:34" x14ac:dyDescent="0.2">
      <c r="B22" s="4">
        <v>2025</v>
      </c>
      <c r="C22" s="4">
        <v>14</v>
      </c>
      <c r="D22" s="4" t="s">
        <v>29</v>
      </c>
      <c r="E22" s="4" t="s">
        <v>11</v>
      </c>
      <c r="F22" s="4">
        <v>22</v>
      </c>
      <c r="G22" s="4">
        <v>19</v>
      </c>
      <c r="H22" s="8">
        <v>0.52226003132554621</v>
      </c>
      <c r="I22" s="4" t="s">
        <v>209</v>
      </c>
      <c r="J22" s="8">
        <v>0.47773996867445379</v>
      </c>
      <c r="K22" s="4" t="s">
        <v>208</v>
      </c>
      <c r="L22" s="4" t="s">
        <v>29</v>
      </c>
      <c r="M22" s="4" t="s">
        <v>29</v>
      </c>
      <c r="N22" s="4">
        <v>1</v>
      </c>
      <c r="O22" s="9">
        <v>23.7279398523062</v>
      </c>
      <c r="P22" s="15">
        <v>21.418776422921539</v>
      </c>
      <c r="Q22" s="4">
        <v>-1.5</v>
      </c>
      <c r="R22" s="9">
        <v>2.3091634293846681</v>
      </c>
      <c r="S22" s="4" t="s">
        <v>139</v>
      </c>
      <c r="T22" s="4">
        <v>3</v>
      </c>
      <c r="U22" s="4" t="s">
        <v>139</v>
      </c>
      <c r="V22" s="4">
        <v>1</v>
      </c>
      <c r="W22" s="4">
        <v>41.5</v>
      </c>
      <c r="X22" s="9">
        <v>45.146716275227739</v>
      </c>
      <c r="Y22" s="4" t="s">
        <v>140</v>
      </c>
      <c r="Z22" s="4">
        <v>41</v>
      </c>
      <c r="AA22" s="4" t="s">
        <v>141</v>
      </c>
      <c r="AB22" s="4">
        <v>0</v>
      </c>
      <c r="AC22" s="5">
        <v>-0.24720269280510981</v>
      </c>
      <c r="AD22" s="5">
        <v>0.27643983023507263</v>
      </c>
      <c r="AE22" s="5">
        <v>6.8867346819709331E-3</v>
      </c>
      <c r="AF22" s="5">
        <v>-0.27643983023507263</v>
      </c>
      <c r="AG22" s="5">
        <v>0.24720269280510981</v>
      </c>
      <c r="AH22" s="5">
        <v>-6.8867346819709331E-3</v>
      </c>
    </row>
  </sheetData>
  <mergeCells count="6">
    <mergeCell ref="AF7:AH7"/>
    <mergeCell ref="H7:N7"/>
    <mergeCell ref="O7:P7"/>
    <mergeCell ref="Q7:V7"/>
    <mergeCell ref="W7:AB7"/>
    <mergeCell ref="AC7:AE7"/>
  </mergeCells>
  <conditionalFormatting sqref="AC9:AC22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9:AD22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9:AE22"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9:AF22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9:AG22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9:AH22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3" id="{E22ED31F-1512-5940-B25E-3A03E1A0E5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N9:N22</xm:sqref>
        </x14:conditionalFormatting>
        <x14:conditionalFormatting xmlns:xm="http://schemas.microsoft.com/office/excel/2006/main">
          <x14:cfRule type="iconSet" priority="64" id="{080D3704-835F-1841-8E99-2AF58566C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V9:V22</xm:sqref>
        </x14:conditionalFormatting>
        <x14:conditionalFormatting xmlns:xm="http://schemas.microsoft.com/office/excel/2006/main">
          <x14:cfRule type="iconSet" priority="65" id="{CBE72D50-2769-B54F-8C11-F18CBE35FDB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AB9:AB22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C9E5-A1CF-E344-B421-18BC62C87574}">
  <dimension ref="B2:AH24"/>
  <sheetViews>
    <sheetView showGridLines="0" workbookViewId="0">
      <selection activeCell="I30" sqref="I30"/>
    </sheetView>
  </sheetViews>
  <sheetFormatPr baseColWidth="10" defaultRowHeight="15" x14ac:dyDescent="0.2"/>
  <cols>
    <col min="2" max="3" width="9.5" customWidth="1"/>
    <col min="4" max="4" width="10.5" bestFit="1" customWidth="1"/>
    <col min="5" max="5" width="9.83203125" bestFit="1" customWidth="1"/>
    <col min="6" max="6" width="10.6640625" bestFit="1" customWidth="1"/>
    <col min="7" max="7" width="9.83203125" customWidth="1"/>
    <col min="8" max="8" width="10.1640625" customWidth="1"/>
    <col min="9" max="9" width="13.33203125" customWidth="1"/>
    <col min="10" max="10" width="9.5" customWidth="1"/>
    <col min="11" max="11" width="12.6640625" customWidth="1"/>
    <col min="12" max="12" width="4.83203125" customWidth="1"/>
    <col min="13" max="13" width="6.6640625" customWidth="1"/>
    <col min="14" max="14" width="14" customWidth="1"/>
    <col min="15" max="16" width="11.6640625" customWidth="1"/>
    <col min="17" max="17" width="10.1640625" bestFit="1" customWidth="1"/>
    <col min="18" max="18" width="10.83203125" bestFit="1" customWidth="1"/>
    <col min="19" max="19" width="10.33203125" bestFit="1" customWidth="1"/>
    <col min="20" max="20" width="5.6640625" bestFit="1" customWidth="1"/>
    <col min="21" max="21" width="11.6640625" bestFit="1" customWidth="1"/>
    <col min="22" max="22" width="13.6640625" bestFit="1" customWidth="1"/>
    <col min="23" max="23" width="8.6640625" bestFit="1" customWidth="1"/>
    <col min="24" max="24" width="9.33203125" bestFit="1" customWidth="1"/>
    <col min="25" max="25" width="8.83203125" bestFit="1" customWidth="1"/>
    <col min="26" max="26" width="4.83203125" bestFit="1" customWidth="1"/>
    <col min="27" max="27" width="10.1640625" bestFit="1" customWidth="1"/>
    <col min="28" max="28" width="12.1640625" bestFit="1" customWidth="1"/>
    <col min="29" max="30" width="10.1640625" bestFit="1" customWidth="1"/>
    <col min="31" max="31" width="10.6640625" bestFit="1" customWidth="1"/>
    <col min="32" max="33" width="10.1640625" bestFit="1" customWidth="1"/>
    <col min="34" max="34" width="10.6640625" bestFit="1" customWidth="1"/>
  </cols>
  <sheetData>
    <row r="2" spans="2:34" x14ac:dyDescent="0.2">
      <c r="B2" s="7" t="s">
        <v>63</v>
      </c>
      <c r="C2" s="13">
        <f>COUNTA($C$9:$C$24)</f>
        <v>16</v>
      </c>
    </row>
    <row r="3" spans="2:34" x14ac:dyDescent="0.2">
      <c r="B3" s="7" t="s">
        <v>145</v>
      </c>
      <c r="C3" s="13">
        <f>SUM(N9:$N$24)</f>
        <v>8</v>
      </c>
      <c r="D3" s="14">
        <f>C3/$C$2</f>
        <v>0.5</v>
      </c>
    </row>
    <row r="4" spans="2:34" x14ac:dyDescent="0.2">
      <c r="B4" s="7" t="s">
        <v>146</v>
      </c>
      <c r="C4" s="13">
        <f>SUM(V9:$V$24)</f>
        <v>8</v>
      </c>
      <c r="D4" s="14">
        <f t="shared" ref="D4:D5" si="0">C4/$C$2</f>
        <v>0.5</v>
      </c>
    </row>
    <row r="5" spans="2:34" x14ac:dyDescent="0.2">
      <c r="B5" s="7" t="s">
        <v>150</v>
      </c>
      <c r="C5" s="13">
        <f>SUM(AB9:$AB$24)</f>
        <v>6</v>
      </c>
      <c r="D5" s="14">
        <f t="shared" si="0"/>
        <v>0.375</v>
      </c>
    </row>
    <row r="6" spans="2:34" x14ac:dyDescent="0.2">
      <c r="C6" s="6"/>
    </row>
    <row r="7" spans="2:34" x14ac:dyDescent="0.2">
      <c r="H7" s="20" t="s">
        <v>142</v>
      </c>
      <c r="I7" s="20"/>
      <c r="J7" s="20"/>
      <c r="K7" s="20"/>
      <c r="L7" s="20"/>
      <c r="M7" s="20"/>
      <c r="N7" s="20"/>
      <c r="O7" s="20" t="s">
        <v>149</v>
      </c>
      <c r="P7" s="20"/>
      <c r="Q7" s="20" t="s">
        <v>143</v>
      </c>
      <c r="R7" s="20"/>
      <c r="S7" s="20"/>
      <c r="T7" s="20"/>
      <c r="U7" s="20"/>
      <c r="V7" s="20"/>
      <c r="W7" s="20" t="s">
        <v>144</v>
      </c>
      <c r="X7" s="20"/>
      <c r="Y7" s="20"/>
      <c r="Z7" s="20"/>
      <c r="AA7" s="20"/>
      <c r="AB7" s="20"/>
      <c r="AC7" s="20" t="s">
        <v>55</v>
      </c>
      <c r="AD7" s="20"/>
      <c r="AE7" s="20"/>
      <c r="AF7" s="20" t="s">
        <v>56</v>
      </c>
      <c r="AG7" s="20"/>
      <c r="AH7" s="20"/>
    </row>
    <row r="8" spans="2:34" x14ac:dyDescent="0.2">
      <c r="B8" s="1" t="s">
        <v>0</v>
      </c>
      <c r="C8" s="1" t="s">
        <v>1</v>
      </c>
      <c r="D8" s="1" t="s">
        <v>2</v>
      </c>
      <c r="E8" s="1" t="s">
        <v>3</v>
      </c>
      <c r="F8" s="1" t="s">
        <v>151</v>
      </c>
      <c r="G8" s="1" t="s">
        <v>152</v>
      </c>
      <c r="H8" s="1" t="s">
        <v>4</v>
      </c>
      <c r="I8" s="1" t="s">
        <v>7</v>
      </c>
      <c r="J8" s="1" t="s">
        <v>5</v>
      </c>
      <c r="K8" s="1" t="s">
        <v>8</v>
      </c>
      <c r="L8" s="1" t="s">
        <v>6</v>
      </c>
      <c r="M8" s="1" t="s">
        <v>9</v>
      </c>
      <c r="N8" s="1" t="s">
        <v>129</v>
      </c>
      <c r="O8" s="1" t="s">
        <v>139</v>
      </c>
      <c r="P8" s="1" t="s">
        <v>138</v>
      </c>
      <c r="Q8" s="1" t="s">
        <v>126</v>
      </c>
      <c r="R8" s="1" t="s">
        <v>127</v>
      </c>
      <c r="S8" s="1" t="s">
        <v>130</v>
      </c>
      <c r="T8" s="1" t="s">
        <v>131</v>
      </c>
      <c r="U8" s="1" t="s">
        <v>132</v>
      </c>
      <c r="V8" s="1" t="s">
        <v>133</v>
      </c>
      <c r="W8" s="1" t="s">
        <v>128</v>
      </c>
      <c r="X8" s="1" t="s">
        <v>148</v>
      </c>
      <c r="Y8" s="1" t="s">
        <v>134</v>
      </c>
      <c r="Z8" s="1" t="s">
        <v>135</v>
      </c>
      <c r="AA8" s="1" t="s">
        <v>136</v>
      </c>
      <c r="AB8" s="1" t="s">
        <v>137</v>
      </c>
      <c r="AC8" s="1" t="s">
        <v>57</v>
      </c>
      <c r="AD8" s="1" t="s">
        <v>58</v>
      </c>
      <c r="AE8" s="1" t="s">
        <v>59</v>
      </c>
      <c r="AF8" s="1" t="s">
        <v>57</v>
      </c>
      <c r="AG8" s="1" t="s">
        <v>58</v>
      </c>
      <c r="AH8" s="1" t="s">
        <v>59</v>
      </c>
    </row>
    <row r="9" spans="2:34" x14ac:dyDescent="0.2">
      <c r="B9" s="4">
        <v>2025</v>
      </c>
      <c r="C9" s="4">
        <v>15</v>
      </c>
      <c r="D9" s="4" t="s">
        <v>43</v>
      </c>
      <c r="E9" s="4" t="s">
        <v>49</v>
      </c>
      <c r="F9" s="4">
        <v>28</v>
      </c>
      <c r="G9" s="4">
        <v>29</v>
      </c>
      <c r="H9" s="8">
        <v>0.55311107736891651</v>
      </c>
      <c r="I9" s="4">
        <v>-123</v>
      </c>
      <c r="J9" s="8">
        <v>0.44688892263108349</v>
      </c>
      <c r="K9" s="4">
        <v>123</v>
      </c>
      <c r="L9" s="4" t="s">
        <v>43</v>
      </c>
      <c r="M9" s="4" t="s">
        <v>49</v>
      </c>
      <c r="N9" s="4">
        <v>0</v>
      </c>
      <c r="O9" s="15">
        <v>23.43704823660822</v>
      </c>
      <c r="P9" s="15">
        <v>20.275458358410571</v>
      </c>
      <c r="Q9" s="4">
        <v>4.5</v>
      </c>
      <c r="R9" s="15">
        <v>3.161589878197645</v>
      </c>
      <c r="S9" s="4" t="s">
        <v>138</v>
      </c>
      <c r="T9" s="4">
        <v>-1</v>
      </c>
      <c r="U9" s="4" t="s">
        <v>138</v>
      </c>
      <c r="V9" s="4">
        <v>1</v>
      </c>
      <c r="W9" s="4">
        <v>43.5</v>
      </c>
      <c r="X9" s="9">
        <v>43.712506595018787</v>
      </c>
      <c r="Y9" s="4" t="s">
        <v>140</v>
      </c>
      <c r="Z9" s="4">
        <v>57</v>
      </c>
      <c r="AA9" s="4" t="s">
        <v>140</v>
      </c>
      <c r="AB9" s="4">
        <v>1</v>
      </c>
      <c r="AC9" s="5">
        <v>0.1317733175614301</v>
      </c>
      <c r="AD9" s="5">
        <v>-0.2193315278238325</v>
      </c>
      <c r="AE9" s="5">
        <v>0.1114644748823983</v>
      </c>
      <c r="AF9" s="5">
        <v>0.2193315278238325</v>
      </c>
      <c r="AG9" s="5">
        <v>-0.1317733175614301</v>
      </c>
      <c r="AH9" s="5">
        <v>-0.1114644748823983</v>
      </c>
    </row>
    <row r="10" spans="2:34" x14ac:dyDescent="0.2">
      <c r="B10" s="4">
        <v>2025</v>
      </c>
      <c r="C10" s="4">
        <v>15</v>
      </c>
      <c r="D10" s="4" t="s">
        <v>53</v>
      </c>
      <c r="E10" s="4" t="s">
        <v>35</v>
      </c>
      <c r="F10" s="4">
        <v>31</v>
      </c>
      <c r="G10" s="4">
        <v>3</v>
      </c>
      <c r="H10" s="8">
        <v>0.7379495008536272</v>
      </c>
      <c r="I10" s="4">
        <v>-281</v>
      </c>
      <c r="J10" s="8">
        <v>0.2620504991463728</v>
      </c>
      <c r="K10" s="4">
        <v>281</v>
      </c>
      <c r="L10" s="4" t="s">
        <v>53</v>
      </c>
      <c r="M10" s="4" t="s">
        <v>53</v>
      </c>
      <c r="N10" s="4">
        <v>1</v>
      </c>
      <c r="O10" s="15">
        <v>26.281883545499731</v>
      </c>
      <c r="P10" s="15">
        <v>16.895162011024251</v>
      </c>
      <c r="Q10" s="4">
        <v>7.5</v>
      </c>
      <c r="R10" s="15">
        <v>9.3867215344754804</v>
      </c>
      <c r="S10" s="4" t="s">
        <v>139</v>
      </c>
      <c r="T10" s="4">
        <v>28</v>
      </c>
      <c r="U10" s="4" t="s">
        <v>139</v>
      </c>
      <c r="V10" s="4">
        <v>1</v>
      </c>
      <c r="W10" s="4">
        <v>39.5</v>
      </c>
      <c r="X10" s="9">
        <v>43.177045556523993</v>
      </c>
      <c r="Y10" s="4" t="s">
        <v>140</v>
      </c>
      <c r="Z10" s="4">
        <v>34</v>
      </c>
      <c r="AA10" s="4" t="s">
        <v>141</v>
      </c>
      <c r="AB10" s="4">
        <v>0</v>
      </c>
      <c r="AC10" s="5">
        <v>5.5679310451854362E-2</v>
      </c>
      <c r="AD10" s="5">
        <v>0.46604476656232557</v>
      </c>
      <c r="AE10" s="5">
        <v>3.8387454473055332E-2</v>
      </c>
      <c r="AF10" s="5">
        <v>-0.46604476656232557</v>
      </c>
      <c r="AG10" s="5">
        <v>-5.5679310451854362E-2</v>
      </c>
      <c r="AH10" s="5">
        <v>-3.8387454473055332E-2</v>
      </c>
    </row>
    <row r="11" spans="2:34" x14ac:dyDescent="0.2">
      <c r="B11" s="4">
        <v>2025</v>
      </c>
      <c r="C11" s="4">
        <v>15</v>
      </c>
      <c r="D11" s="4" t="s">
        <v>41</v>
      </c>
      <c r="E11" s="4" t="s">
        <v>16</v>
      </c>
      <c r="F11" s="4">
        <v>0</v>
      </c>
      <c r="G11" s="4">
        <v>24</v>
      </c>
      <c r="H11" s="8">
        <v>0.49854539536194609</v>
      </c>
      <c r="I11" s="4">
        <v>100</v>
      </c>
      <c r="J11" s="8">
        <v>0.50145460463805391</v>
      </c>
      <c r="K11" s="4">
        <v>-100</v>
      </c>
      <c r="L11" s="4" t="s">
        <v>16</v>
      </c>
      <c r="M11" s="4" t="s">
        <v>16</v>
      </c>
      <c r="N11" s="4">
        <v>1</v>
      </c>
      <c r="O11" s="15">
        <v>19.543828147685989</v>
      </c>
      <c r="P11" s="15">
        <v>25.629978778733761</v>
      </c>
      <c r="Q11" s="4">
        <v>-2.5</v>
      </c>
      <c r="R11" s="9">
        <v>-6.0861506310477722</v>
      </c>
      <c r="S11" s="4" t="s">
        <v>138</v>
      </c>
      <c r="T11" s="4">
        <v>-24</v>
      </c>
      <c r="U11" s="4" t="s">
        <v>138</v>
      </c>
      <c r="V11" s="4">
        <v>1</v>
      </c>
      <c r="W11" s="4">
        <v>52.5</v>
      </c>
      <c r="X11" s="9">
        <v>45.173806926419743</v>
      </c>
      <c r="Y11" s="4" t="s">
        <v>141</v>
      </c>
      <c r="Z11" s="4">
        <v>24</v>
      </c>
      <c r="AA11" s="4" t="s">
        <v>141</v>
      </c>
      <c r="AB11" s="4">
        <v>1</v>
      </c>
      <c r="AC11" s="5">
        <v>-0.31780488867508738</v>
      </c>
      <c r="AD11" s="5">
        <v>-0.20007620359721939</v>
      </c>
      <c r="AE11" s="5">
        <v>-5.1181500448900109E-2</v>
      </c>
      <c r="AF11" s="5">
        <v>0.20007620359721939</v>
      </c>
      <c r="AG11" s="5">
        <v>0.31780488867508738</v>
      </c>
      <c r="AH11" s="5">
        <v>5.1181500448900109E-2</v>
      </c>
    </row>
    <row r="12" spans="2:34" x14ac:dyDescent="0.2">
      <c r="B12" s="4">
        <v>2025</v>
      </c>
      <c r="C12" s="4">
        <v>15</v>
      </c>
      <c r="D12" s="4" t="s">
        <v>85</v>
      </c>
      <c r="E12" s="4" t="s">
        <v>23</v>
      </c>
      <c r="F12" s="4">
        <v>40</v>
      </c>
      <c r="G12" s="4">
        <v>20</v>
      </c>
      <c r="H12" s="8">
        <v>0.6759915607053375</v>
      </c>
      <c r="I12" s="4">
        <v>-208</v>
      </c>
      <c r="J12" s="8">
        <v>0.3240084392946625</v>
      </c>
      <c r="K12" s="4">
        <v>208</v>
      </c>
      <c r="L12" s="4" t="s">
        <v>85</v>
      </c>
      <c r="M12" s="4" t="s">
        <v>85</v>
      </c>
      <c r="N12" s="4">
        <v>1</v>
      </c>
      <c r="O12" s="15">
        <v>25.86818038659403</v>
      </c>
      <c r="P12" s="15">
        <v>16.553565513587881</v>
      </c>
      <c r="Q12" s="4">
        <v>9.5</v>
      </c>
      <c r="R12" s="9">
        <v>9.3146148730061533</v>
      </c>
      <c r="S12" s="4" t="s">
        <v>138</v>
      </c>
      <c r="T12" s="4">
        <v>20</v>
      </c>
      <c r="U12" s="4" t="s">
        <v>139</v>
      </c>
      <c r="V12" s="4">
        <v>0</v>
      </c>
      <c r="W12" s="4">
        <v>42.5</v>
      </c>
      <c r="X12" s="9">
        <v>42.421745900181918</v>
      </c>
      <c r="Y12" s="4" t="s">
        <v>141</v>
      </c>
      <c r="Z12" s="4">
        <v>60</v>
      </c>
      <c r="AA12" s="4" t="s">
        <v>140</v>
      </c>
      <c r="AB12" s="4">
        <v>0</v>
      </c>
      <c r="AC12" s="5">
        <v>0.22322595119476321</v>
      </c>
      <c r="AD12" s="5">
        <v>-5.1856294045081512E-2</v>
      </c>
      <c r="AE12" s="5">
        <v>0.43710761234678069</v>
      </c>
      <c r="AF12" s="5">
        <v>5.1856294045081512E-2</v>
      </c>
      <c r="AG12" s="5">
        <v>-0.22322595119476321</v>
      </c>
      <c r="AH12" s="5">
        <v>-0.43710761234678069</v>
      </c>
    </row>
    <row r="13" spans="2:34" x14ac:dyDescent="0.2">
      <c r="B13" s="4">
        <v>2025</v>
      </c>
      <c r="C13" s="4">
        <v>15</v>
      </c>
      <c r="D13" s="4" t="s">
        <v>25</v>
      </c>
      <c r="E13" s="4" t="s">
        <v>13</v>
      </c>
      <c r="F13" s="4">
        <v>48</v>
      </c>
      <c r="G13" s="4">
        <v>20</v>
      </c>
      <c r="H13" s="8">
        <v>0.72977689201558893</v>
      </c>
      <c r="I13" s="4">
        <v>-270</v>
      </c>
      <c r="J13" s="8">
        <v>0.27022310798441113</v>
      </c>
      <c r="K13" s="4">
        <v>270</v>
      </c>
      <c r="L13" s="4" t="s">
        <v>25</v>
      </c>
      <c r="M13" s="4" t="s">
        <v>25</v>
      </c>
      <c r="N13" s="4">
        <v>1</v>
      </c>
      <c r="O13" s="15">
        <v>26.285730689686201</v>
      </c>
      <c r="P13" s="15">
        <v>16.475169081439521</v>
      </c>
      <c r="Q13" s="4">
        <v>13.5</v>
      </c>
      <c r="R13" s="9">
        <v>9.8105616082466796</v>
      </c>
      <c r="S13" s="4" t="s">
        <v>138</v>
      </c>
      <c r="T13" s="4">
        <v>28</v>
      </c>
      <c r="U13" s="4" t="s">
        <v>139</v>
      </c>
      <c r="V13" s="4">
        <v>0</v>
      </c>
      <c r="W13" s="4">
        <v>41.5</v>
      </c>
      <c r="X13" s="9">
        <v>42.760899771125708</v>
      </c>
      <c r="Y13" s="4" t="s">
        <v>140</v>
      </c>
      <c r="Z13" s="4">
        <v>68</v>
      </c>
      <c r="AA13" s="4" t="s">
        <v>140</v>
      </c>
      <c r="AB13" s="4">
        <v>1</v>
      </c>
      <c r="AC13" s="5">
        <v>0.31214617066464179</v>
      </c>
      <c r="AD13" s="5">
        <v>0.15684513484730439</v>
      </c>
      <c r="AE13" s="5">
        <v>8.5648218790690105E-3</v>
      </c>
      <c r="AF13" s="5">
        <v>-0.15684513484730439</v>
      </c>
      <c r="AG13" s="5">
        <v>-0.31214617066464179</v>
      </c>
      <c r="AH13" s="5">
        <v>-8.5648218790690105E-3</v>
      </c>
    </row>
    <row r="14" spans="2:34" x14ac:dyDescent="0.2">
      <c r="B14" s="4">
        <v>2025</v>
      </c>
      <c r="C14" s="4">
        <v>15</v>
      </c>
      <c r="D14" s="4" t="s">
        <v>46</v>
      </c>
      <c r="E14" s="4" t="s">
        <v>29</v>
      </c>
      <c r="F14" s="4">
        <v>13</v>
      </c>
      <c r="G14" s="4">
        <v>16</v>
      </c>
      <c r="H14" s="8">
        <v>0.51386550246563023</v>
      </c>
      <c r="I14" s="4">
        <v>-105</v>
      </c>
      <c r="J14" s="8">
        <v>0.48613449753436982</v>
      </c>
      <c r="K14" s="4">
        <v>105</v>
      </c>
      <c r="L14" s="4" t="s">
        <v>46</v>
      </c>
      <c r="M14" s="4" t="s">
        <v>29</v>
      </c>
      <c r="N14" s="4">
        <v>0</v>
      </c>
      <c r="O14" s="15">
        <v>21.747223428365839</v>
      </c>
      <c r="P14" s="15">
        <v>25.16930628181456</v>
      </c>
      <c r="Q14" s="4">
        <v>4.5</v>
      </c>
      <c r="R14" s="15">
        <v>-3.4220828534487211</v>
      </c>
      <c r="S14" s="4" t="s">
        <v>138</v>
      </c>
      <c r="T14" s="4">
        <v>-3</v>
      </c>
      <c r="U14" s="4" t="s">
        <v>138</v>
      </c>
      <c r="V14" s="4">
        <v>1</v>
      </c>
      <c r="W14" s="4">
        <v>41.5</v>
      </c>
      <c r="X14" s="9">
        <v>46.916529710180392</v>
      </c>
      <c r="Y14" s="4" t="s">
        <v>140</v>
      </c>
      <c r="Z14" s="4">
        <v>29</v>
      </c>
      <c r="AA14" s="4" t="s">
        <v>141</v>
      </c>
      <c r="AB14" s="4">
        <v>0</v>
      </c>
      <c r="AC14" s="5">
        <v>-0.1133985441239154</v>
      </c>
      <c r="AD14" s="5">
        <v>1.000016836019663E-2</v>
      </c>
      <c r="AE14" s="5">
        <v>4.7639032204945878E-2</v>
      </c>
      <c r="AF14" s="5">
        <v>-1.000016836019663E-2</v>
      </c>
      <c r="AG14" s="5">
        <v>0.1133985441239154</v>
      </c>
      <c r="AH14" s="5">
        <v>-4.7639032204945878E-2</v>
      </c>
    </row>
    <row r="15" spans="2:34" x14ac:dyDescent="0.2">
      <c r="B15" s="4">
        <v>2025</v>
      </c>
      <c r="C15" s="4">
        <v>15</v>
      </c>
      <c r="D15" s="4" t="s">
        <v>32</v>
      </c>
      <c r="E15" s="4" t="s">
        <v>50</v>
      </c>
      <c r="F15" s="4">
        <v>31</v>
      </c>
      <c r="G15" s="4">
        <v>35</v>
      </c>
      <c r="H15" s="8">
        <v>0.54182075644723904</v>
      </c>
      <c r="I15" s="4">
        <v>-118</v>
      </c>
      <c r="J15" s="8">
        <v>0.45817924355276102</v>
      </c>
      <c r="K15" s="4">
        <v>118</v>
      </c>
      <c r="L15" s="4" t="s">
        <v>32</v>
      </c>
      <c r="M15" s="4" t="s">
        <v>50</v>
      </c>
      <c r="N15" s="4">
        <v>0</v>
      </c>
      <c r="O15" s="15">
        <v>25.39383005978841</v>
      </c>
      <c r="P15" s="15">
        <v>22.897335356714201</v>
      </c>
      <c r="Q15" s="4">
        <v>-1.5</v>
      </c>
      <c r="R15" s="9">
        <v>2.4964947030742048</v>
      </c>
      <c r="S15" s="4" t="s">
        <v>139</v>
      </c>
      <c r="T15" s="4">
        <v>-4</v>
      </c>
      <c r="U15" s="4" t="s">
        <v>138</v>
      </c>
      <c r="V15" s="4">
        <v>0</v>
      </c>
      <c r="W15" s="4">
        <v>50.5</v>
      </c>
      <c r="X15" s="9">
        <v>48.291165416502608</v>
      </c>
      <c r="Y15" s="4" t="s">
        <v>141</v>
      </c>
      <c r="Z15" s="4">
        <v>66</v>
      </c>
      <c r="AA15" s="4" t="s">
        <v>140</v>
      </c>
      <c r="AB15" s="4">
        <v>0</v>
      </c>
      <c r="AC15" s="5">
        <v>0.2300455020024226</v>
      </c>
      <c r="AD15" s="5">
        <v>-0.27603377157182829</v>
      </c>
      <c r="AE15" s="5">
        <v>-0.13226565292903361</v>
      </c>
      <c r="AF15" s="5">
        <v>0.27603377157182829</v>
      </c>
      <c r="AG15" s="5">
        <v>-0.2300455020024226</v>
      </c>
      <c r="AH15" s="5">
        <v>0.13226565292903361</v>
      </c>
    </row>
    <row r="16" spans="2:34" x14ac:dyDescent="0.2">
      <c r="B16" s="4">
        <v>2025</v>
      </c>
      <c r="C16" s="4">
        <v>15</v>
      </c>
      <c r="D16" s="4" t="s">
        <v>10</v>
      </c>
      <c r="E16" s="4" t="s">
        <v>52</v>
      </c>
      <c r="F16" s="4">
        <v>21</v>
      </c>
      <c r="G16" s="4">
        <v>29</v>
      </c>
      <c r="H16" s="8">
        <v>0.57741471893306551</v>
      </c>
      <c r="I16" s="4">
        <v>-136</v>
      </c>
      <c r="J16" s="8">
        <v>0.42258528106693449</v>
      </c>
      <c r="K16" s="4">
        <v>136</v>
      </c>
      <c r="L16" s="4" t="s">
        <v>10</v>
      </c>
      <c r="M16" s="4" t="s">
        <v>52</v>
      </c>
      <c r="N16" s="4">
        <v>0</v>
      </c>
      <c r="O16" s="15">
        <v>23.975062571943312</v>
      </c>
      <c r="P16" s="15">
        <v>22.258502332493009</v>
      </c>
      <c r="Q16" s="4">
        <v>2.5</v>
      </c>
      <c r="R16" s="15">
        <v>1.716560239450295</v>
      </c>
      <c r="S16" s="4" t="s">
        <v>138</v>
      </c>
      <c r="T16" s="4">
        <v>-8</v>
      </c>
      <c r="U16" s="4" t="s">
        <v>138</v>
      </c>
      <c r="V16" s="4">
        <v>1</v>
      </c>
      <c r="W16" s="4">
        <v>47.5</v>
      </c>
      <c r="X16" s="9">
        <v>46.233564904436321</v>
      </c>
      <c r="Y16" s="4" t="s">
        <v>141</v>
      </c>
      <c r="Z16" s="4">
        <v>50</v>
      </c>
      <c r="AA16" s="4" t="s">
        <v>140</v>
      </c>
      <c r="AB16" s="4">
        <v>0</v>
      </c>
      <c r="AC16" s="5">
        <v>3.8744337418500113E-2</v>
      </c>
      <c r="AD16" s="5">
        <v>6.4041614532470703E-3</v>
      </c>
      <c r="AE16" s="5">
        <v>-0.51649937341953145</v>
      </c>
      <c r="AF16" s="5">
        <v>-6.4041614532470703E-3</v>
      </c>
      <c r="AG16" s="5">
        <v>-3.8744337418500113E-2</v>
      </c>
      <c r="AH16" s="5">
        <v>0.51649937341953145</v>
      </c>
    </row>
    <row r="17" spans="2:34" x14ac:dyDescent="0.2">
      <c r="B17" s="4">
        <v>2025</v>
      </c>
      <c r="C17" s="4">
        <v>15</v>
      </c>
      <c r="D17" s="4" t="s">
        <v>11</v>
      </c>
      <c r="E17" s="4" t="s">
        <v>37</v>
      </c>
      <c r="F17" s="4">
        <v>31</v>
      </c>
      <c r="G17" s="4">
        <v>0</v>
      </c>
      <c r="H17" s="8">
        <v>0.72040986504828619</v>
      </c>
      <c r="I17" s="4">
        <v>-257</v>
      </c>
      <c r="J17" s="8">
        <v>0.27959013495171381</v>
      </c>
      <c r="K17" s="4">
        <v>257</v>
      </c>
      <c r="L17" s="4" t="s">
        <v>11</v>
      </c>
      <c r="M17" s="4" t="s">
        <v>11</v>
      </c>
      <c r="N17" s="4">
        <v>1</v>
      </c>
      <c r="O17" s="15">
        <v>22.774364550091789</v>
      </c>
      <c r="P17" s="15">
        <v>16.30674468620445</v>
      </c>
      <c r="Q17" s="4">
        <v>11.5</v>
      </c>
      <c r="R17" s="9">
        <v>6.4676198638873386</v>
      </c>
      <c r="S17" s="4" t="s">
        <v>138</v>
      </c>
      <c r="T17" s="4">
        <v>31</v>
      </c>
      <c r="U17" s="4" t="s">
        <v>139</v>
      </c>
      <c r="V17" s="4">
        <v>0</v>
      </c>
      <c r="W17" s="4">
        <v>38.5</v>
      </c>
      <c r="X17" s="9">
        <v>39.081109236296228</v>
      </c>
      <c r="Y17" s="4" t="s">
        <v>140</v>
      </c>
      <c r="Z17" s="4">
        <v>31</v>
      </c>
      <c r="AA17" s="4" t="s">
        <v>141</v>
      </c>
      <c r="AB17" s="4">
        <v>0</v>
      </c>
      <c r="AC17" s="5">
        <v>0.27447755785955902</v>
      </c>
      <c r="AD17" s="5">
        <v>0.41019966488792781</v>
      </c>
      <c r="AE17" s="5">
        <v>-6.5953307681613504E-2</v>
      </c>
      <c r="AF17" s="5">
        <v>-0.41019966488792781</v>
      </c>
      <c r="AG17" s="5">
        <v>-0.27447755785955902</v>
      </c>
      <c r="AH17" s="5">
        <v>6.5953307681613504E-2</v>
      </c>
    </row>
    <row r="18" spans="2:34" x14ac:dyDescent="0.2">
      <c r="B18" s="4">
        <v>2025</v>
      </c>
      <c r="C18" s="4">
        <v>15</v>
      </c>
      <c r="D18" s="4" t="s">
        <v>14</v>
      </c>
      <c r="E18" s="4" t="s">
        <v>40</v>
      </c>
      <c r="F18" s="4">
        <v>34</v>
      </c>
      <c r="G18" s="4">
        <v>26</v>
      </c>
      <c r="H18" s="8">
        <v>0.43988287428103162</v>
      </c>
      <c r="I18" s="4">
        <v>127</v>
      </c>
      <c r="J18" s="8">
        <v>0.56011712571896843</v>
      </c>
      <c r="K18" s="4">
        <v>-127</v>
      </c>
      <c r="L18" s="4" t="s">
        <v>40</v>
      </c>
      <c r="M18" s="4" t="s">
        <v>14</v>
      </c>
      <c r="N18" s="4">
        <v>0</v>
      </c>
      <c r="O18" s="15">
        <v>23.839145609454121</v>
      </c>
      <c r="P18" s="15">
        <v>23.600464291307691</v>
      </c>
      <c r="Q18" s="4">
        <v>-2.5</v>
      </c>
      <c r="R18" s="9">
        <v>0.23868131814643689</v>
      </c>
      <c r="S18" s="4" t="s">
        <v>139</v>
      </c>
      <c r="T18" s="4">
        <v>8</v>
      </c>
      <c r="U18" s="4" t="s">
        <v>139</v>
      </c>
      <c r="V18" s="4">
        <v>1</v>
      </c>
      <c r="W18" s="4">
        <v>42.5</v>
      </c>
      <c r="X18" s="9">
        <v>47.439609900761809</v>
      </c>
      <c r="Y18" s="4" t="s">
        <v>140</v>
      </c>
      <c r="Z18" s="4">
        <v>60</v>
      </c>
      <c r="AA18" s="4" t="s">
        <v>140</v>
      </c>
      <c r="AB18" s="4">
        <v>1</v>
      </c>
      <c r="AC18" s="5">
        <v>0.18422170785757211</v>
      </c>
      <c r="AD18" s="5">
        <v>-4.5897548848932442E-2</v>
      </c>
      <c r="AE18" s="5">
        <v>-2.9521880326447661E-2</v>
      </c>
      <c r="AF18" s="5">
        <v>4.5897548848932442E-2</v>
      </c>
      <c r="AG18" s="5">
        <v>-0.18422170785757211</v>
      </c>
      <c r="AH18" s="5">
        <v>2.9521880326447661E-2</v>
      </c>
    </row>
    <row r="19" spans="2:34" x14ac:dyDescent="0.2">
      <c r="B19" s="4">
        <v>2025</v>
      </c>
      <c r="C19" s="4">
        <v>15</v>
      </c>
      <c r="D19" s="4" t="s">
        <v>17</v>
      </c>
      <c r="E19" s="4" t="s">
        <v>47</v>
      </c>
      <c r="F19" s="4">
        <v>41</v>
      </c>
      <c r="G19" s="4">
        <v>34</v>
      </c>
      <c r="H19" s="8">
        <v>0.65340354530499767</v>
      </c>
      <c r="I19" s="4">
        <v>-188</v>
      </c>
      <c r="J19" s="8">
        <v>0.34659645469500228</v>
      </c>
      <c r="K19" s="4">
        <v>188</v>
      </c>
      <c r="L19" s="4" t="s">
        <v>17</v>
      </c>
      <c r="M19" s="4" t="s">
        <v>17</v>
      </c>
      <c r="N19" s="4">
        <v>1</v>
      </c>
      <c r="O19" s="15">
        <v>25.5145740038494</v>
      </c>
      <c r="P19" s="15">
        <v>21.29288341932779</v>
      </c>
      <c r="Q19" s="4">
        <v>5.5</v>
      </c>
      <c r="R19" s="15">
        <v>4.2216905845216166</v>
      </c>
      <c r="S19" s="4" t="s">
        <v>138</v>
      </c>
      <c r="T19" s="4">
        <v>7</v>
      </c>
      <c r="U19" s="4" t="s">
        <v>139</v>
      </c>
      <c r="V19" s="4">
        <v>0</v>
      </c>
      <c r="W19" s="4">
        <v>55.5</v>
      </c>
      <c r="X19" s="9">
        <v>46.80745742317719</v>
      </c>
      <c r="Y19" s="4" t="s">
        <v>141</v>
      </c>
      <c r="Z19" s="4">
        <v>75</v>
      </c>
      <c r="AA19" s="4" t="s">
        <v>140</v>
      </c>
      <c r="AB19" s="4">
        <v>0</v>
      </c>
      <c r="AC19" s="5">
        <v>0.20446423689524329</v>
      </c>
      <c r="AD19" s="5">
        <v>-0.18640026450157171</v>
      </c>
      <c r="AE19" s="5">
        <v>8.0822855234146118E-2</v>
      </c>
      <c r="AF19" s="5">
        <v>0.18640026450157171</v>
      </c>
      <c r="AG19" s="5">
        <v>-0.20446423689524329</v>
      </c>
      <c r="AH19" s="5">
        <v>-8.0822855234146118E-2</v>
      </c>
    </row>
    <row r="20" spans="2:34" x14ac:dyDescent="0.2">
      <c r="B20" s="4">
        <v>2025</v>
      </c>
      <c r="C20" s="4">
        <v>15</v>
      </c>
      <c r="D20" s="4" t="s">
        <v>31</v>
      </c>
      <c r="E20" s="4" t="s">
        <v>19</v>
      </c>
      <c r="F20" s="4">
        <v>20</v>
      </c>
      <c r="G20" s="4">
        <v>17</v>
      </c>
      <c r="H20" s="8">
        <v>0.38670585764743137</v>
      </c>
      <c r="I20" s="4">
        <v>158</v>
      </c>
      <c r="J20" s="8">
        <v>0.61329414235256863</v>
      </c>
      <c r="K20" s="4">
        <v>-158</v>
      </c>
      <c r="L20" s="4" t="s">
        <v>19</v>
      </c>
      <c r="M20" s="4" t="s">
        <v>31</v>
      </c>
      <c r="N20" s="4">
        <v>0</v>
      </c>
      <c r="O20" s="15">
        <v>19.979862518048542</v>
      </c>
      <c r="P20" s="15">
        <v>23.449353689463511</v>
      </c>
      <c r="Q20" s="4">
        <v>-2.5</v>
      </c>
      <c r="R20" s="9">
        <v>-3.469491171414973</v>
      </c>
      <c r="S20" s="4" t="s">
        <v>138</v>
      </c>
      <c r="T20" s="4">
        <v>3</v>
      </c>
      <c r="U20" s="4" t="s">
        <v>139</v>
      </c>
      <c r="V20" s="4">
        <v>0</v>
      </c>
      <c r="W20" s="4">
        <v>40.5</v>
      </c>
      <c r="X20" s="9">
        <v>43.429216207512063</v>
      </c>
      <c r="Y20" s="4" t="s">
        <v>140</v>
      </c>
      <c r="Z20" s="4">
        <v>37</v>
      </c>
      <c r="AA20" s="4" t="s">
        <v>141</v>
      </c>
      <c r="AB20" s="4">
        <v>0</v>
      </c>
      <c r="AC20" s="5">
        <v>0.12060855751606959</v>
      </c>
      <c r="AD20" s="5">
        <v>-9.2158878058717961E-2</v>
      </c>
      <c r="AE20" s="5">
        <v>-2.602231502532959E-2</v>
      </c>
      <c r="AF20" s="5">
        <v>9.2158878058717961E-2</v>
      </c>
      <c r="AG20" s="5">
        <v>-0.12060855751606959</v>
      </c>
      <c r="AH20" s="5">
        <v>2.602231502532959E-2</v>
      </c>
    </row>
    <row r="21" spans="2:34" x14ac:dyDescent="0.2">
      <c r="B21" s="4">
        <v>2025</v>
      </c>
      <c r="C21" s="4">
        <v>15</v>
      </c>
      <c r="D21" s="4" t="s">
        <v>26</v>
      </c>
      <c r="E21" s="4" t="s">
        <v>22</v>
      </c>
      <c r="F21" s="4">
        <v>18</v>
      </c>
      <c r="G21" s="4">
        <v>16</v>
      </c>
      <c r="H21" s="8">
        <v>0.61517315708416764</v>
      </c>
      <c r="I21" s="4">
        <v>-159</v>
      </c>
      <c r="J21" s="8">
        <v>0.38482684291583241</v>
      </c>
      <c r="K21" s="4">
        <v>159</v>
      </c>
      <c r="L21" s="4" t="s">
        <v>26</v>
      </c>
      <c r="M21" s="4" t="s">
        <v>26</v>
      </c>
      <c r="N21" s="4">
        <v>1</v>
      </c>
      <c r="O21" s="15">
        <v>26.482532403537771</v>
      </c>
      <c r="P21" s="15">
        <v>20.587491299679471</v>
      </c>
      <c r="Q21" s="4">
        <v>14</v>
      </c>
      <c r="R21" s="9">
        <v>5.8950411038583042</v>
      </c>
      <c r="S21" s="4" t="s">
        <v>138</v>
      </c>
      <c r="T21" s="4">
        <v>2</v>
      </c>
      <c r="U21" s="4" t="s">
        <v>138</v>
      </c>
      <c r="V21" s="4">
        <v>1</v>
      </c>
      <c r="W21" s="4">
        <v>42.5</v>
      </c>
      <c r="X21" s="9">
        <v>47.070023703217252</v>
      </c>
      <c r="Y21" s="4" t="s">
        <v>140</v>
      </c>
      <c r="Z21" s="4">
        <v>34</v>
      </c>
      <c r="AA21" s="4" t="s">
        <v>141</v>
      </c>
      <c r="AB21" s="4">
        <v>0</v>
      </c>
      <c r="AC21" s="5">
        <v>-5.2897453308105469E-2</v>
      </c>
      <c r="AD21" s="5">
        <v>5.0182624657948809E-2</v>
      </c>
      <c r="AE21" s="5">
        <v>-2.289349238077799E-2</v>
      </c>
      <c r="AF21" s="5">
        <v>-5.0182624657948809E-2</v>
      </c>
      <c r="AG21" s="5">
        <v>5.2897453308105469E-2</v>
      </c>
      <c r="AH21" s="5">
        <v>2.289349238077799E-2</v>
      </c>
    </row>
    <row r="22" spans="2:34" x14ac:dyDescent="0.2">
      <c r="B22" s="4">
        <v>2025</v>
      </c>
      <c r="C22" s="4">
        <v>15</v>
      </c>
      <c r="D22" s="4" t="s">
        <v>44</v>
      </c>
      <c r="E22" s="4" t="s">
        <v>38</v>
      </c>
      <c r="F22" s="4">
        <v>37</v>
      </c>
      <c r="G22" s="4">
        <v>24</v>
      </c>
      <c r="H22" s="8">
        <v>0.81195214311802133</v>
      </c>
      <c r="I22" s="4">
        <v>-431</v>
      </c>
      <c r="J22" s="8">
        <v>0.1880478568819787</v>
      </c>
      <c r="K22" s="4">
        <v>431</v>
      </c>
      <c r="L22" s="4" t="s">
        <v>44</v>
      </c>
      <c r="M22" s="4" t="s">
        <v>44</v>
      </c>
      <c r="N22" s="4">
        <v>1</v>
      </c>
      <c r="O22" s="9">
        <v>31.622566271482949</v>
      </c>
      <c r="P22" s="15">
        <v>17.63250567140237</v>
      </c>
      <c r="Q22" s="4">
        <v>12.5</v>
      </c>
      <c r="R22" s="9">
        <v>13.99006060008058</v>
      </c>
      <c r="S22" s="4" t="s">
        <v>139</v>
      </c>
      <c r="T22" s="4">
        <v>13</v>
      </c>
      <c r="U22" s="4" t="s">
        <v>139</v>
      </c>
      <c r="V22" s="4">
        <v>1</v>
      </c>
      <c r="W22" s="4">
        <v>44.5</v>
      </c>
      <c r="X22" s="9">
        <v>49.255071942885323</v>
      </c>
      <c r="Y22" s="4" t="s">
        <v>140</v>
      </c>
      <c r="Z22" s="4">
        <v>61</v>
      </c>
      <c r="AA22" s="4" t="s">
        <v>140</v>
      </c>
      <c r="AB22" s="4">
        <v>1</v>
      </c>
      <c r="AC22" s="5">
        <v>0.24674415588378909</v>
      </c>
      <c r="AD22" s="5">
        <v>-0.166762280014326</v>
      </c>
      <c r="AE22" s="5">
        <v>0.12605456369263779</v>
      </c>
      <c r="AF22" s="5">
        <v>0.166762280014326</v>
      </c>
      <c r="AG22" s="5">
        <v>-0.24674415588378909</v>
      </c>
      <c r="AH22" s="5">
        <v>-0.12605456369263779</v>
      </c>
    </row>
    <row r="23" spans="2:34" x14ac:dyDescent="0.2">
      <c r="B23" s="4">
        <v>2025</v>
      </c>
      <c r="C23" s="4">
        <v>15</v>
      </c>
      <c r="D23" s="4" t="s">
        <v>20</v>
      </c>
      <c r="E23" s="4" t="s">
        <v>77</v>
      </c>
      <c r="F23" s="4">
        <v>26</v>
      </c>
      <c r="G23" s="4">
        <v>34</v>
      </c>
      <c r="H23" s="8">
        <v>0.7043288685541208</v>
      </c>
      <c r="I23" s="4">
        <v>-238</v>
      </c>
      <c r="J23" s="8">
        <v>0.2956711314458792</v>
      </c>
      <c r="K23" s="4">
        <v>238</v>
      </c>
      <c r="L23" s="4" t="s">
        <v>20</v>
      </c>
      <c r="M23" s="4" t="s">
        <v>77</v>
      </c>
      <c r="N23" s="4">
        <v>0</v>
      </c>
      <c r="O23" s="9">
        <v>25.772461126347459</v>
      </c>
      <c r="P23" s="15">
        <v>19.607648842037531</v>
      </c>
      <c r="Q23" s="4">
        <v>5.5</v>
      </c>
      <c r="R23" s="9">
        <v>6.1648122843099351</v>
      </c>
      <c r="S23" s="4" t="s">
        <v>139</v>
      </c>
      <c r="T23" s="4">
        <v>-8</v>
      </c>
      <c r="U23" s="4" t="s">
        <v>138</v>
      </c>
      <c r="V23" s="4">
        <v>0</v>
      </c>
      <c r="W23" s="4">
        <v>47.5</v>
      </c>
      <c r="X23" s="9">
        <v>45.380109968384993</v>
      </c>
      <c r="Y23" s="4" t="s">
        <v>141</v>
      </c>
      <c r="Z23" s="4">
        <v>60</v>
      </c>
      <c r="AA23" s="4" t="s">
        <v>140</v>
      </c>
      <c r="AB23" s="4">
        <v>0</v>
      </c>
      <c r="AC23" s="5">
        <v>0.1033906869485345</v>
      </c>
      <c r="AD23" s="5">
        <v>-0.21643484963311091</v>
      </c>
      <c r="AE23" s="5">
        <v>-0.24118071986782941</v>
      </c>
      <c r="AF23" s="5">
        <v>0.21643484963311091</v>
      </c>
      <c r="AG23" s="5">
        <v>-0.1033906869485345</v>
      </c>
      <c r="AH23" s="5">
        <v>0.24118071986782941</v>
      </c>
    </row>
    <row r="24" spans="2:34" x14ac:dyDescent="0.2">
      <c r="B24" s="4">
        <v>2025</v>
      </c>
      <c r="C24" s="4">
        <v>15</v>
      </c>
      <c r="D24" s="4" t="s">
        <v>34</v>
      </c>
      <c r="E24" s="4" t="s">
        <v>28</v>
      </c>
      <c r="F24" s="4">
        <v>28</v>
      </c>
      <c r="G24" s="4">
        <v>15</v>
      </c>
      <c r="H24" s="8">
        <v>0.48235151259621789</v>
      </c>
      <c r="I24" s="4">
        <v>107</v>
      </c>
      <c r="J24" s="8">
        <v>0.51764848740378211</v>
      </c>
      <c r="K24" s="4">
        <v>-107</v>
      </c>
      <c r="L24" s="4" t="s">
        <v>28</v>
      </c>
      <c r="M24" s="4" t="s">
        <v>34</v>
      </c>
      <c r="N24" s="4">
        <v>0</v>
      </c>
      <c r="O24" s="9">
        <v>23.431135929767429</v>
      </c>
      <c r="P24" s="15">
        <v>23.529503393557441</v>
      </c>
      <c r="Q24" s="4">
        <v>3</v>
      </c>
      <c r="R24" s="9">
        <v>-9.8367463790019372E-2</v>
      </c>
      <c r="S24" s="4" t="s">
        <v>138</v>
      </c>
      <c r="T24" s="4">
        <v>13</v>
      </c>
      <c r="U24" s="4" t="s">
        <v>139</v>
      </c>
      <c r="V24" s="4">
        <v>0</v>
      </c>
      <c r="W24" s="4">
        <v>42.5</v>
      </c>
      <c r="X24" s="9">
        <v>46.96063932332487</v>
      </c>
      <c r="Y24" s="4" t="s">
        <v>140</v>
      </c>
      <c r="Z24" s="4">
        <v>43</v>
      </c>
      <c r="AA24" s="4" t="s">
        <v>140</v>
      </c>
      <c r="AB24" s="4">
        <v>1</v>
      </c>
      <c r="AC24" s="5">
        <v>0.20847795948837741</v>
      </c>
      <c r="AD24" s="5">
        <v>2.4986797943711281E-3</v>
      </c>
      <c r="AE24" s="5">
        <v>-7.7380194664001464E-2</v>
      </c>
      <c r="AF24" s="5">
        <v>-2.4986797943711281E-3</v>
      </c>
      <c r="AG24" s="5">
        <v>-0.20847795948837741</v>
      </c>
      <c r="AH24" s="5">
        <v>7.7380194664001464E-2</v>
      </c>
    </row>
  </sheetData>
  <mergeCells count="6">
    <mergeCell ref="AF7:AH7"/>
    <mergeCell ref="H7:N7"/>
    <mergeCell ref="O7:P7"/>
    <mergeCell ref="Q7:V7"/>
    <mergeCell ref="W7:AB7"/>
    <mergeCell ref="AC7:AE7"/>
  </mergeCells>
  <conditionalFormatting sqref="AC9:AC2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9:AD2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9:AE2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9:AF2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9:AG2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9:AH2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2FDEA58-FD41-2248-847A-D00EDF33D3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N9:N24</xm:sqref>
        </x14:conditionalFormatting>
        <x14:conditionalFormatting xmlns:xm="http://schemas.microsoft.com/office/excel/2006/main">
          <x14:cfRule type="iconSet" priority="2" id="{B14A221A-A780-2542-95CF-3320F7E346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V9:V24</xm:sqref>
        </x14:conditionalFormatting>
        <x14:conditionalFormatting xmlns:xm="http://schemas.microsoft.com/office/excel/2006/main">
          <x14:cfRule type="iconSet" priority="3" id="{031DA987-B5E0-2D4F-AEB4-39B1F9AE83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AB9:AB24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62D5-60EC-4D40-B52A-32136F866E06}">
  <dimension ref="B2:AH24"/>
  <sheetViews>
    <sheetView showGridLines="0" workbookViewId="0">
      <selection activeCell="P28" sqref="P28"/>
    </sheetView>
  </sheetViews>
  <sheetFormatPr baseColWidth="10" defaultRowHeight="15" x14ac:dyDescent="0.2"/>
  <cols>
    <col min="2" max="3" width="9.5" customWidth="1"/>
    <col min="4" max="4" width="10.5" bestFit="1" customWidth="1"/>
    <col min="5" max="5" width="9.83203125" bestFit="1" customWidth="1"/>
    <col min="6" max="6" width="10.6640625" bestFit="1" customWidth="1"/>
    <col min="7" max="7" width="9.83203125" customWidth="1"/>
    <col min="8" max="8" width="10.1640625" hidden="1" customWidth="1"/>
    <col min="9" max="9" width="13.33203125" hidden="1" customWidth="1"/>
    <col min="10" max="10" width="9.5" hidden="1" customWidth="1"/>
    <col min="11" max="11" width="12.6640625" hidden="1" customWidth="1"/>
    <col min="12" max="12" width="4.83203125" hidden="1" customWidth="1"/>
    <col min="13" max="13" width="6.6640625" hidden="1" customWidth="1"/>
    <col min="14" max="14" width="14" hidden="1" customWidth="1"/>
    <col min="15" max="16" width="11.6640625" customWidth="1"/>
    <col min="17" max="17" width="10.1640625" bestFit="1" customWidth="1"/>
    <col min="18" max="18" width="10.83203125" bestFit="1" customWidth="1"/>
    <col min="19" max="19" width="10.33203125" bestFit="1" customWidth="1"/>
    <col min="20" max="20" width="5.6640625" bestFit="1" customWidth="1"/>
    <col min="21" max="21" width="11.6640625" bestFit="1" customWidth="1"/>
    <col min="22" max="22" width="13.6640625" bestFit="1" customWidth="1"/>
    <col min="23" max="23" width="8.6640625" bestFit="1" customWidth="1"/>
    <col min="24" max="24" width="9.33203125" bestFit="1" customWidth="1"/>
    <col min="25" max="25" width="8.83203125" bestFit="1" customWidth="1"/>
    <col min="26" max="26" width="4.83203125" bestFit="1" customWidth="1"/>
    <col min="27" max="27" width="10.1640625" bestFit="1" customWidth="1"/>
    <col min="28" max="28" width="12.1640625" bestFit="1" customWidth="1"/>
    <col min="29" max="30" width="10.1640625" bestFit="1" customWidth="1"/>
    <col min="31" max="31" width="10.6640625" bestFit="1" customWidth="1"/>
    <col min="32" max="33" width="10.1640625" bestFit="1" customWidth="1"/>
    <col min="34" max="34" width="10.6640625" bestFit="1" customWidth="1"/>
  </cols>
  <sheetData>
    <row r="2" spans="2:34" x14ac:dyDescent="0.2">
      <c r="B2" s="7" t="s">
        <v>63</v>
      </c>
      <c r="C2" s="13">
        <f>COUNTA($C$9:$C$24)</f>
        <v>16</v>
      </c>
    </row>
    <row r="3" spans="2:34" x14ac:dyDescent="0.2">
      <c r="B3" s="7" t="s">
        <v>145</v>
      </c>
      <c r="C3" s="13">
        <f>SUM(N9:$N$24)</f>
        <v>8</v>
      </c>
      <c r="D3" s="14">
        <f>C3/$C$2</f>
        <v>0.5</v>
      </c>
    </row>
    <row r="4" spans="2:34" x14ac:dyDescent="0.2">
      <c r="B4" s="7" t="s">
        <v>146</v>
      </c>
      <c r="C4" s="13">
        <f>SUM(V9:$V$24)</f>
        <v>6</v>
      </c>
      <c r="D4" s="14">
        <f t="shared" ref="D4:D5" si="0">C4/$C$2</f>
        <v>0.375</v>
      </c>
    </row>
    <row r="5" spans="2:34" x14ac:dyDescent="0.2">
      <c r="B5" s="7" t="s">
        <v>150</v>
      </c>
      <c r="C5" s="13">
        <f>SUM(AB9:$AB$24)</f>
        <v>8</v>
      </c>
      <c r="D5" s="14">
        <f t="shared" si="0"/>
        <v>0.5</v>
      </c>
    </row>
    <row r="6" spans="2:34" x14ac:dyDescent="0.2">
      <c r="C6" s="6"/>
    </row>
    <row r="7" spans="2:34" x14ac:dyDescent="0.2">
      <c r="H7" s="20" t="s">
        <v>142</v>
      </c>
      <c r="I7" s="20"/>
      <c r="J7" s="20"/>
      <c r="K7" s="20"/>
      <c r="L7" s="20"/>
      <c r="M7" s="20"/>
      <c r="N7" s="20"/>
      <c r="O7" s="20" t="s">
        <v>149</v>
      </c>
      <c r="P7" s="20"/>
      <c r="Q7" s="20" t="s">
        <v>143</v>
      </c>
      <c r="R7" s="20"/>
      <c r="S7" s="20"/>
      <c r="T7" s="20"/>
      <c r="U7" s="20"/>
      <c r="V7" s="20"/>
      <c r="W7" s="20" t="s">
        <v>144</v>
      </c>
      <c r="X7" s="20"/>
      <c r="Y7" s="20"/>
      <c r="Z7" s="20"/>
      <c r="AA7" s="20"/>
      <c r="AB7" s="20"/>
      <c r="AC7" s="20" t="s">
        <v>55</v>
      </c>
      <c r="AD7" s="20"/>
      <c r="AE7" s="20"/>
      <c r="AF7" s="20" t="s">
        <v>56</v>
      </c>
      <c r="AG7" s="20"/>
      <c r="AH7" s="20"/>
    </row>
    <row r="8" spans="2:34" x14ac:dyDescent="0.2">
      <c r="B8" s="1" t="s">
        <v>0</v>
      </c>
      <c r="C8" s="1" t="s">
        <v>1</v>
      </c>
      <c r="D8" s="1" t="s">
        <v>2</v>
      </c>
      <c r="E8" s="1" t="s">
        <v>3</v>
      </c>
      <c r="F8" s="1" t="s">
        <v>151</v>
      </c>
      <c r="G8" s="1" t="s">
        <v>152</v>
      </c>
      <c r="H8" s="1" t="s">
        <v>4</v>
      </c>
      <c r="I8" s="1" t="s">
        <v>7</v>
      </c>
      <c r="J8" s="1" t="s">
        <v>5</v>
      </c>
      <c r="K8" s="1" t="s">
        <v>8</v>
      </c>
      <c r="L8" s="1" t="s">
        <v>6</v>
      </c>
      <c r="M8" s="1" t="s">
        <v>9</v>
      </c>
      <c r="N8" s="1" t="s">
        <v>129</v>
      </c>
      <c r="O8" s="1" t="s">
        <v>139</v>
      </c>
      <c r="P8" s="1" t="s">
        <v>138</v>
      </c>
      <c r="Q8" s="1" t="s">
        <v>126</v>
      </c>
      <c r="R8" s="1" t="s">
        <v>127</v>
      </c>
      <c r="S8" s="1" t="s">
        <v>130</v>
      </c>
      <c r="T8" s="1" t="s">
        <v>131</v>
      </c>
      <c r="U8" s="1" t="s">
        <v>132</v>
      </c>
      <c r="V8" s="1" t="s">
        <v>133</v>
      </c>
      <c r="W8" s="1" t="s">
        <v>128</v>
      </c>
      <c r="X8" s="1" t="s">
        <v>148</v>
      </c>
      <c r="Y8" s="1" t="s">
        <v>134</v>
      </c>
      <c r="Z8" s="1" t="s">
        <v>135</v>
      </c>
      <c r="AA8" s="1" t="s">
        <v>136</v>
      </c>
      <c r="AB8" s="1" t="s">
        <v>137</v>
      </c>
      <c r="AC8" s="1" t="s">
        <v>57</v>
      </c>
      <c r="AD8" s="1" t="s">
        <v>58</v>
      </c>
      <c r="AE8" s="1" t="s">
        <v>59</v>
      </c>
      <c r="AF8" s="1" t="s">
        <v>57</v>
      </c>
      <c r="AG8" s="1" t="s">
        <v>58</v>
      </c>
      <c r="AH8" s="1" t="s">
        <v>59</v>
      </c>
    </row>
    <row r="9" spans="2:34" x14ac:dyDescent="0.2">
      <c r="B9" s="4">
        <v>2025</v>
      </c>
      <c r="C9" s="4">
        <v>16</v>
      </c>
      <c r="D9" s="4" t="s">
        <v>26</v>
      </c>
      <c r="E9" s="4" t="s">
        <v>17</v>
      </c>
      <c r="F9" s="4">
        <v>38</v>
      </c>
      <c r="G9" s="4">
        <v>37</v>
      </c>
      <c r="H9" s="8">
        <v>0.45677058285211442</v>
      </c>
      <c r="I9" s="4">
        <v>118</v>
      </c>
      <c r="J9" s="8">
        <v>0.54322941714788564</v>
      </c>
      <c r="K9" s="4">
        <v>-118</v>
      </c>
      <c r="L9" s="4" t="s">
        <v>17</v>
      </c>
      <c r="M9" s="4" t="s">
        <v>26</v>
      </c>
      <c r="N9" s="4">
        <v>0</v>
      </c>
      <c r="O9" s="15">
        <v>24.42712587642151</v>
      </c>
      <c r="P9" s="15">
        <v>24.708560713285468</v>
      </c>
      <c r="Q9" s="4">
        <v>1.5</v>
      </c>
      <c r="R9" s="15">
        <v>-0.28143483686396209</v>
      </c>
      <c r="S9" s="4" t="s">
        <v>138</v>
      </c>
      <c r="T9" s="4">
        <v>1</v>
      </c>
      <c r="U9" s="4" t="s">
        <v>138</v>
      </c>
      <c r="V9" s="4">
        <v>1</v>
      </c>
      <c r="W9" s="4">
        <v>42.5</v>
      </c>
      <c r="X9" s="9">
        <v>49.135686589706978</v>
      </c>
      <c r="Y9" s="4" t="s">
        <v>140</v>
      </c>
      <c r="Z9" s="4">
        <v>75</v>
      </c>
      <c r="AA9" s="4" t="s">
        <v>140</v>
      </c>
      <c r="AB9" s="4">
        <v>1</v>
      </c>
      <c r="AC9" s="5">
        <v>-1.42985749989748E-2</v>
      </c>
      <c r="AD9" s="5">
        <v>-0.20208874992702319</v>
      </c>
      <c r="AE9" s="5">
        <v>0.43977342711554629</v>
      </c>
      <c r="AF9" s="5">
        <v>0.20208874992702319</v>
      </c>
      <c r="AG9" s="5">
        <v>1.42985749989748E-2</v>
      </c>
      <c r="AH9" s="5">
        <v>-0.43977342711554629</v>
      </c>
    </row>
    <row r="10" spans="2:34" x14ac:dyDescent="0.2">
      <c r="B10" s="4">
        <v>2025</v>
      </c>
      <c r="C10" s="4">
        <v>16</v>
      </c>
      <c r="D10" s="4" t="s">
        <v>52</v>
      </c>
      <c r="E10" s="4" t="s">
        <v>11</v>
      </c>
      <c r="F10" s="4">
        <v>18</v>
      </c>
      <c r="G10" s="4">
        <v>29</v>
      </c>
      <c r="H10" s="8">
        <v>0.3810037585176117</v>
      </c>
      <c r="I10" s="4">
        <v>162</v>
      </c>
      <c r="J10" s="8">
        <v>0.6189962414823883</v>
      </c>
      <c r="K10" s="4">
        <v>-162</v>
      </c>
      <c r="L10" s="4" t="s">
        <v>11</v>
      </c>
      <c r="M10" s="4" t="s">
        <v>11</v>
      </c>
      <c r="N10" s="4">
        <v>1</v>
      </c>
      <c r="O10" s="15">
        <v>20.38051855290929</v>
      </c>
      <c r="P10" s="15">
        <v>25.95462517993742</v>
      </c>
      <c r="Q10" s="4">
        <v>-6.5</v>
      </c>
      <c r="R10" s="15">
        <v>-5.5741066270281294</v>
      </c>
      <c r="S10" s="4" t="s">
        <v>139</v>
      </c>
      <c r="T10" s="4">
        <v>-11</v>
      </c>
      <c r="U10" s="4" t="s">
        <v>138</v>
      </c>
      <c r="V10" s="4">
        <v>0</v>
      </c>
      <c r="W10" s="4">
        <v>44.5</v>
      </c>
      <c r="X10" s="9">
        <v>46.33514373284671</v>
      </c>
      <c r="Y10" s="4" t="s">
        <v>140</v>
      </c>
      <c r="Z10" s="4">
        <v>47</v>
      </c>
      <c r="AA10" s="4" t="s">
        <v>140</v>
      </c>
      <c r="AB10" s="4">
        <v>1</v>
      </c>
      <c r="AC10" s="5">
        <v>-9.0667981367844805E-2</v>
      </c>
      <c r="AD10" s="5">
        <v>-0.34741071444838789</v>
      </c>
      <c r="AE10" s="5">
        <v>0.39216567993164059</v>
      </c>
      <c r="AF10" s="5">
        <v>0.34741071444838789</v>
      </c>
      <c r="AG10" s="5">
        <v>9.0667981367844805E-2</v>
      </c>
      <c r="AH10" s="5">
        <v>-0.39216567993164059</v>
      </c>
    </row>
    <row r="11" spans="2:34" x14ac:dyDescent="0.2">
      <c r="B11" s="4">
        <v>2025</v>
      </c>
      <c r="C11" s="4">
        <v>16</v>
      </c>
      <c r="D11" s="4" t="s">
        <v>53</v>
      </c>
      <c r="E11" s="4" t="s">
        <v>40</v>
      </c>
      <c r="F11" s="4">
        <v>22</v>
      </c>
      <c r="G11" s="4">
        <v>16</v>
      </c>
      <c r="H11" s="8">
        <v>0.46716785972320179</v>
      </c>
      <c r="I11" s="4">
        <v>114</v>
      </c>
      <c r="J11" s="8">
        <v>0.53283214027679815</v>
      </c>
      <c r="K11" s="4">
        <v>-114</v>
      </c>
      <c r="L11" s="4" t="s">
        <v>40</v>
      </c>
      <c r="M11" s="4" t="s">
        <v>53</v>
      </c>
      <c r="N11" s="4">
        <v>0</v>
      </c>
      <c r="O11" s="15">
        <v>24.27378101370709</v>
      </c>
      <c r="P11" s="15">
        <v>23.759865990496468</v>
      </c>
      <c r="Q11" s="4">
        <v>1.5</v>
      </c>
      <c r="R11" s="9">
        <v>0.51391502321062177</v>
      </c>
      <c r="S11" s="4" t="s">
        <v>138</v>
      </c>
      <c r="T11" s="4">
        <v>6</v>
      </c>
      <c r="U11" s="4" t="s">
        <v>139</v>
      </c>
      <c r="V11" s="4">
        <v>0</v>
      </c>
      <c r="W11" s="4">
        <v>46.5</v>
      </c>
      <c r="X11" s="9">
        <v>48.033647004203573</v>
      </c>
      <c r="Y11" s="4" t="s">
        <v>140</v>
      </c>
      <c r="Z11" s="4">
        <v>38</v>
      </c>
      <c r="AA11" s="4" t="s">
        <v>141</v>
      </c>
      <c r="AB11" s="4">
        <v>0</v>
      </c>
      <c r="AC11" s="5">
        <v>0.1089127063751221</v>
      </c>
      <c r="AD11" s="5">
        <v>-9.5630128043038498E-2</v>
      </c>
      <c r="AE11" s="5">
        <v>0.26111322234977369</v>
      </c>
      <c r="AF11" s="5">
        <v>9.5630128043038498E-2</v>
      </c>
      <c r="AG11" s="5">
        <v>-0.1089127063751221</v>
      </c>
      <c r="AH11" s="5">
        <v>-0.26111322234977369</v>
      </c>
    </row>
    <row r="12" spans="2:34" x14ac:dyDescent="0.2">
      <c r="B12" s="4">
        <v>2025</v>
      </c>
      <c r="C12" s="4">
        <v>16</v>
      </c>
      <c r="D12" s="4" t="s">
        <v>19</v>
      </c>
      <c r="E12" s="4" t="s">
        <v>43</v>
      </c>
      <c r="F12" s="4">
        <v>23</v>
      </c>
      <c r="G12" s="4">
        <v>20</v>
      </c>
      <c r="H12" s="8">
        <v>0.50862761293109249</v>
      </c>
      <c r="I12" s="4">
        <v>-103</v>
      </c>
      <c r="J12" s="8">
        <v>0.49137238706890751</v>
      </c>
      <c r="K12" s="4">
        <v>103</v>
      </c>
      <c r="L12" s="4" t="s">
        <v>19</v>
      </c>
      <c r="M12" s="4" t="s">
        <v>19</v>
      </c>
      <c r="N12" s="4">
        <v>1</v>
      </c>
      <c r="O12" s="15">
        <v>23.518132326291521</v>
      </c>
      <c r="P12" s="15">
        <v>24.246959773348038</v>
      </c>
      <c r="Q12" s="4">
        <v>-3</v>
      </c>
      <c r="R12" s="9">
        <v>-0.72882744705651703</v>
      </c>
      <c r="S12" s="4" t="s">
        <v>139</v>
      </c>
      <c r="T12" s="4">
        <v>3</v>
      </c>
      <c r="U12" s="4" t="s">
        <v>139</v>
      </c>
      <c r="V12" s="4">
        <v>1</v>
      </c>
      <c r="W12" s="4">
        <v>45.5</v>
      </c>
      <c r="X12" s="9">
        <v>47.765092099639567</v>
      </c>
      <c r="Y12" s="4" t="s">
        <v>140</v>
      </c>
      <c r="Z12" s="4">
        <v>43</v>
      </c>
      <c r="AA12" s="4" t="s">
        <v>141</v>
      </c>
      <c r="AB12" s="4">
        <v>0</v>
      </c>
      <c r="AC12" s="5">
        <v>0.100590687877727</v>
      </c>
      <c r="AD12" s="5">
        <v>-7.9181875501360216E-2</v>
      </c>
      <c r="AE12" s="5">
        <v>8.8326802620520964E-2</v>
      </c>
      <c r="AF12" s="5">
        <v>7.9181875501360216E-2</v>
      </c>
      <c r="AG12" s="5">
        <v>-0.100590687877727</v>
      </c>
      <c r="AH12" s="5">
        <v>-8.8326802620520964E-2</v>
      </c>
    </row>
    <row r="13" spans="2:34" x14ac:dyDescent="0.2">
      <c r="B13" s="4">
        <v>2025</v>
      </c>
      <c r="C13" s="4">
        <v>16</v>
      </c>
      <c r="D13" s="4" t="s">
        <v>35</v>
      </c>
      <c r="E13" s="4" t="s">
        <v>50</v>
      </c>
      <c r="F13" s="4">
        <v>20</v>
      </c>
      <c r="G13" s="4">
        <v>23</v>
      </c>
      <c r="H13" s="8">
        <v>0.198285202130948</v>
      </c>
      <c r="I13" s="4">
        <v>404</v>
      </c>
      <c r="J13" s="8">
        <v>0.80171479786905198</v>
      </c>
      <c r="K13" s="4">
        <v>-404</v>
      </c>
      <c r="L13" s="4" t="s">
        <v>50</v>
      </c>
      <c r="M13" s="4" t="s">
        <v>50</v>
      </c>
      <c r="N13" s="4">
        <v>1</v>
      </c>
      <c r="O13" s="15">
        <v>15.14071543153881</v>
      </c>
      <c r="P13" s="15">
        <v>26.403360108958388</v>
      </c>
      <c r="Q13" s="4">
        <v>-10.5</v>
      </c>
      <c r="R13" s="9">
        <v>-11.262644677419569</v>
      </c>
      <c r="S13" s="4" t="s">
        <v>138</v>
      </c>
      <c r="T13" s="4">
        <v>-3</v>
      </c>
      <c r="U13" s="4" t="s">
        <v>139</v>
      </c>
      <c r="V13" s="4">
        <v>0</v>
      </c>
      <c r="W13" s="4">
        <v>41.5</v>
      </c>
      <c r="X13" s="9">
        <v>41.544075540497197</v>
      </c>
      <c r="Y13" s="4" t="s">
        <v>140</v>
      </c>
      <c r="Z13" s="4">
        <v>43</v>
      </c>
      <c r="AA13" s="4" t="s">
        <v>140</v>
      </c>
      <c r="AB13" s="4">
        <v>1</v>
      </c>
      <c r="AC13" s="5">
        <v>-0.1195580069698505</v>
      </c>
      <c r="AD13" s="5">
        <v>-6.0782894492149353E-2</v>
      </c>
      <c r="AE13" s="5">
        <v>0.21042259879734199</v>
      </c>
      <c r="AF13" s="5">
        <v>6.0782894492149353E-2</v>
      </c>
      <c r="AG13" s="5">
        <v>0.1195580069698505</v>
      </c>
      <c r="AH13" s="5">
        <v>-0.21042259879734199</v>
      </c>
    </row>
    <row r="14" spans="2:34" x14ac:dyDescent="0.2">
      <c r="B14" s="4">
        <v>2025</v>
      </c>
      <c r="C14" s="4">
        <v>16</v>
      </c>
      <c r="D14" s="4" t="s">
        <v>20</v>
      </c>
      <c r="E14" s="4" t="s">
        <v>29</v>
      </c>
      <c r="F14" s="4">
        <v>17</v>
      </c>
      <c r="G14" s="4">
        <v>34</v>
      </c>
      <c r="H14" s="8">
        <v>0.52451465676521247</v>
      </c>
      <c r="I14" s="4">
        <v>-110</v>
      </c>
      <c r="J14" s="8">
        <v>0.47548534323478753</v>
      </c>
      <c r="K14" s="4">
        <v>110</v>
      </c>
      <c r="L14" s="4" t="s">
        <v>20</v>
      </c>
      <c r="M14" s="4" t="s">
        <v>29</v>
      </c>
      <c r="N14" s="4">
        <v>0</v>
      </c>
      <c r="O14" s="15">
        <v>23.282829122070581</v>
      </c>
      <c r="P14" s="15">
        <v>26.756905933402141</v>
      </c>
      <c r="Q14" s="4">
        <v>2.5</v>
      </c>
      <c r="R14" s="15">
        <v>-3.4740768113315599</v>
      </c>
      <c r="S14" s="4" t="s">
        <v>138</v>
      </c>
      <c r="T14" s="4">
        <v>-17</v>
      </c>
      <c r="U14" s="4" t="s">
        <v>138</v>
      </c>
      <c r="V14" s="4">
        <v>1</v>
      </c>
      <c r="W14" s="4">
        <v>49.5</v>
      </c>
      <c r="X14" s="9">
        <v>50.039735055472718</v>
      </c>
      <c r="Y14" s="4" t="s">
        <v>140</v>
      </c>
      <c r="Z14" s="4">
        <v>51</v>
      </c>
      <c r="AA14" s="4" t="s">
        <v>140</v>
      </c>
      <c r="AB14" s="4">
        <v>1</v>
      </c>
      <c r="AC14" s="5">
        <v>1.2319071539517111E-2</v>
      </c>
      <c r="AD14" s="5">
        <v>-0.41529864356631319</v>
      </c>
      <c r="AE14" s="5">
        <v>5.8993493968790226E-3</v>
      </c>
      <c r="AF14" s="5">
        <v>0.41529864356631319</v>
      </c>
      <c r="AG14" s="5">
        <v>-1.2319071539517111E-2</v>
      </c>
      <c r="AH14" s="5">
        <v>-5.8993493968790226E-3</v>
      </c>
    </row>
    <row r="15" spans="2:34" x14ac:dyDescent="0.2">
      <c r="B15" s="4">
        <v>2025</v>
      </c>
      <c r="C15" s="4">
        <v>16</v>
      </c>
      <c r="D15" s="4" t="s">
        <v>28</v>
      </c>
      <c r="E15" s="4" t="s">
        <v>41</v>
      </c>
      <c r="F15" s="4">
        <v>21</v>
      </c>
      <c r="G15" s="4">
        <v>45</v>
      </c>
      <c r="H15" s="8">
        <v>0.64262223922015771</v>
      </c>
      <c r="I15" s="4">
        <v>-179</v>
      </c>
      <c r="J15" s="8">
        <v>0.35737776077984229</v>
      </c>
      <c r="K15" s="4">
        <v>179</v>
      </c>
      <c r="L15" s="4" t="s">
        <v>28</v>
      </c>
      <c r="M15" s="4" t="s">
        <v>41</v>
      </c>
      <c r="N15" s="4">
        <v>0</v>
      </c>
      <c r="O15" s="15">
        <v>25.272464749512629</v>
      </c>
      <c r="P15" s="15">
        <v>21.999351598057409</v>
      </c>
      <c r="Q15" s="4">
        <v>-4.5</v>
      </c>
      <c r="R15" s="9">
        <v>3.2731131514552199</v>
      </c>
      <c r="S15" s="4" t="s">
        <v>139</v>
      </c>
      <c r="T15" s="4">
        <v>-24</v>
      </c>
      <c r="U15" s="4" t="s">
        <v>138</v>
      </c>
      <c r="V15" s="4">
        <v>0</v>
      </c>
      <c r="W15" s="4">
        <v>47.5</v>
      </c>
      <c r="X15" s="9">
        <v>47.271816347570052</v>
      </c>
      <c r="Y15" s="4" t="s">
        <v>141</v>
      </c>
      <c r="Z15" s="4">
        <v>66</v>
      </c>
      <c r="AA15" s="4" t="s">
        <v>140</v>
      </c>
      <c r="AB15" s="4">
        <v>0</v>
      </c>
      <c r="AC15" s="5">
        <v>-8.2405801546775695E-2</v>
      </c>
      <c r="AD15" s="5">
        <v>-0.37215389189172959</v>
      </c>
      <c r="AE15" s="5">
        <v>-0.13656136592229209</v>
      </c>
      <c r="AF15" s="5">
        <v>0.37215389189172959</v>
      </c>
      <c r="AG15" s="5">
        <v>8.2405801546775695E-2</v>
      </c>
      <c r="AH15" s="5">
        <v>0.13656136592229209</v>
      </c>
    </row>
    <row r="16" spans="2:34" x14ac:dyDescent="0.2">
      <c r="B16" s="4">
        <v>2025</v>
      </c>
      <c r="C16" s="4">
        <v>16</v>
      </c>
      <c r="D16" s="4" t="s">
        <v>31</v>
      </c>
      <c r="E16" s="4" t="s">
        <v>13</v>
      </c>
      <c r="F16" s="4">
        <v>29</v>
      </c>
      <c r="G16" s="4">
        <v>6</v>
      </c>
      <c r="H16" s="8">
        <v>0.52049589597517043</v>
      </c>
      <c r="I16" s="4">
        <v>-108</v>
      </c>
      <c r="J16" s="8">
        <v>0.47950410402482962</v>
      </c>
      <c r="K16" s="4">
        <v>108</v>
      </c>
      <c r="L16" s="4" t="s">
        <v>31</v>
      </c>
      <c r="M16" s="4" t="s">
        <v>31</v>
      </c>
      <c r="N16" s="4">
        <v>1</v>
      </c>
      <c r="O16" s="15">
        <v>21.956531139303191</v>
      </c>
      <c r="P16" s="15">
        <v>19.83597304471391</v>
      </c>
      <c r="Q16" s="4">
        <v>4.5</v>
      </c>
      <c r="R16" s="15">
        <v>2.1205580945892808</v>
      </c>
      <c r="S16" s="4" t="s">
        <v>138</v>
      </c>
      <c r="T16" s="4">
        <v>23</v>
      </c>
      <c r="U16" s="4" t="s">
        <v>139</v>
      </c>
      <c r="V16" s="4">
        <v>0</v>
      </c>
      <c r="W16" s="4">
        <v>40.5</v>
      </c>
      <c r="X16" s="9">
        <v>41.792504184017098</v>
      </c>
      <c r="Y16" s="4" t="s">
        <v>140</v>
      </c>
      <c r="Z16" s="4">
        <v>35</v>
      </c>
      <c r="AA16" s="4" t="s">
        <v>141</v>
      </c>
      <c r="AB16" s="4">
        <v>0</v>
      </c>
      <c r="AC16" s="5">
        <v>-1.923598387302497E-2</v>
      </c>
      <c r="AD16" s="5">
        <v>0.40649648146195838</v>
      </c>
      <c r="AE16" s="5">
        <v>4.1583979571307148E-2</v>
      </c>
      <c r="AF16" s="5">
        <v>-0.40649648146195838</v>
      </c>
      <c r="AG16" s="5">
        <v>1.923598387302497E-2</v>
      </c>
      <c r="AH16" s="5">
        <v>-4.1583979571307148E-2</v>
      </c>
    </row>
    <row r="17" spans="2:34" x14ac:dyDescent="0.2">
      <c r="B17" s="4">
        <v>2025</v>
      </c>
      <c r="C17" s="4">
        <v>16</v>
      </c>
      <c r="D17" s="4" t="s">
        <v>10</v>
      </c>
      <c r="E17" s="4" t="s">
        <v>77</v>
      </c>
      <c r="F17" s="4">
        <v>13</v>
      </c>
      <c r="G17" s="4">
        <v>16</v>
      </c>
      <c r="H17" s="8">
        <v>0.54385697669064592</v>
      </c>
      <c r="I17" s="4">
        <v>-119</v>
      </c>
      <c r="J17" s="8">
        <v>0.45614302330935408</v>
      </c>
      <c r="K17" s="4">
        <v>119</v>
      </c>
      <c r="L17" s="4" t="s">
        <v>10</v>
      </c>
      <c r="M17" s="4" t="s">
        <v>77</v>
      </c>
      <c r="N17" s="4">
        <v>0</v>
      </c>
      <c r="O17" s="15">
        <v>21.60529888402343</v>
      </c>
      <c r="P17" s="15">
        <v>20.340250591387569</v>
      </c>
      <c r="Q17" s="4">
        <v>-3</v>
      </c>
      <c r="R17" s="9">
        <v>1.265048292635861</v>
      </c>
      <c r="S17" s="4" t="s">
        <v>139</v>
      </c>
      <c r="T17" s="4">
        <v>-3</v>
      </c>
      <c r="U17" s="4" t="s">
        <v>138</v>
      </c>
      <c r="V17" s="4">
        <v>0</v>
      </c>
      <c r="W17" s="4">
        <v>43.5</v>
      </c>
      <c r="X17" s="9">
        <v>41.945549475411013</v>
      </c>
      <c r="Y17" s="4" t="s">
        <v>141</v>
      </c>
      <c r="Z17" s="4">
        <v>29</v>
      </c>
      <c r="AA17" s="4" t="s">
        <v>141</v>
      </c>
      <c r="AB17" s="4">
        <v>1</v>
      </c>
      <c r="AC17" s="5">
        <v>-0.2525144304547991</v>
      </c>
      <c r="AD17" s="5">
        <v>8.712315559387207E-2</v>
      </c>
      <c r="AE17" s="5">
        <v>9.4729696449480552E-2</v>
      </c>
      <c r="AF17" s="5">
        <v>-8.712315559387207E-2</v>
      </c>
      <c r="AG17" s="5">
        <v>0.2525144304547991</v>
      </c>
      <c r="AH17" s="5">
        <v>-9.4729696449480552E-2</v>
      </c>
    </row>
    <row r="18" spans="2:34" x14ac:dyDescent="0.2">
      <c r="B18" s="4">
        <v>2025</v>
      </c>
      <c r="C18" s="4">
        <v>16</v>
      </c>
      <c r="D18" s="4" t="s">
        <v>38</v>
      </c>
      <c r="E18" s="4" t="s">
        <v>46</v>
      </c>
      <c r="F18" s="4">
        <v>26</v>
      </c>
      <c r="G18" s="4">
        <v>9</v>
      </c>
      <c r="H18" s="8">
        <v>0.28893408804609783</v>
      </c>
      <c r="I18" s="4">
        <v>246</v>
      </c>
      <c r="J18" s="8">
        <v>0.71106591195390223</v>
      </c>
      <c r="K18" s="4">
        <v>-246</v>
      </c>
      <c r="L18" s="4" t="s">
        <v>46</v>
      </c>
      <c r="M18" s="4" t="s">
        <v>38</v>
      </c>
      <c r="N18" s="4">
        <v>0</v>
      </c>
      <c r="O18" s="15">
        <v>18.766062801481251</v>
      </c>
      <c r="P18" s="15">
        <v>26.221189911594909</v>
      </c>
      <c r="Q18" s="4">
        <v>-3</v>
      </c>
      <c r="R18" s="9">
        <v>-7.4551271101136614</v>
      </c>
      <c r="S18" s="4" t="s">
        <v>138</v>
      </c>
      <c r="T18" s="4">
        <v>17</v>
      </c>
      <c r="U18" s="4" t="s">
        <v>139</v>
      </c>
      <c r="V18" s="4">
        <v>0</v>
      </c>
      <c r="W18" s="4">
        <v>37.5</v>
      </c>
      <c r="X18" s="9">
        <v>44.98725271307616</v>
      </c>
      <c r="Y18" s="4" t="s">
        <v>140</v>
      </c>
      <c r="Z18" s="4">
        <v>35</v>
      </c>
      <c r="AA18" s="4" t="s">
        <v>141</v>
      </c>
      <c r="AB18" s="4">
        <v>0</v>
      </c>
      <c r="AC18" s="5">
        <v>2.704334930634834E-2</v>
      </c>
      <c r="AD18" s="5">
        <v>0.26126194000244141</v>
      </c>
      <c r="AE18" s="5">
        <v>7.5585239208661587E-2</v>
      </c>
      <c r="AF18" s="5">
        <v>-0.26126194000244141</v>
      </c>
      <c r="AG18" s="5">
        <v>-2.704334930634834E-2</v>
      </c>
      <c r="AH18" s="5">
        <v>-7.5585239208661587E-2</v>
      </c>
    </row>
    <row r="19" spans="2:34" x14ac:dyDescent="0.2">
      <c r="B19" s="4">
        <v>2025</v>
      </c>
      <c r="C19" s="4">
        <v>16</v>
      </c>
      <c r="D19" s="4" t="s">
        <v>23</v>
      </c>
      <c r="E19" s="4" t="s">
        <v>49</v>
      </c>
      <c r="F19" s="4">
        <v>19</v>
      </c>
      <c r="G19" s="4">
        <v>26</v>
      </c>
      <c r="H19" s="8">
        <v>0.40541773863663649</v>
      </c>
      <c r="I19" s="4">
        <v>146</v>
      </c>
      <c r="J19" s="8">
        <v>0.59458226136336356</v>
      </c>
      <c r="K19" s="4">
        <v>-146</v>
      </c>
      <c r="L19" s="4" t="s">
        <v>49</v>
      </c>
      <c r="M19" s="4" t="s">
        <v>49</v>
      </c>
      <c r="N19" s="4">
        <v>1</v>
      </c>
      <c r="O19" s="15">
        <v>18.697322220630362</v>
      </c>
      <c r="P19" s="15">
        <v>22.638798259832861</v>
      </c>
      <c r="Q19" s="4">
        <v>-3</v>
      </c>
      <c r="R19" s="15">
        <v>-3.9414760392024948</v>
      </c>
      <c r="S19" s="4" t="s">
        <v>138</v>
      </c>
      <c r="T19" s="4">
        <v>-7</v>
      </c>
      <c r="U19" s="4" t="s">
        <v>138</v>
      </c>
      <c r="V19" s="4">
        <v>1</v>
      </c>
      <c r="W19" s="4">
        <v>48.5</v>
      </c>
      <c r="X19" s="9">
        <v>41.336120480463222</v>
      </c>
      <c r="Y19" s="4" t="s">
        <v>141</v>
      </c>
      <c r="Z19" s="4">
        <v>45</v>
      </c>
      <c r="AA19" s="4" t="s">
        <v>141</v>
      </c>
      <c r="AB19" s="4">
        <v>1</v>
      </c>
      <c r="AC19" s="5">
        <v>2.4603760033323051E-2</v>
      </c>
      <c r="AD19" s="5">
        <v>-6.4516105651855463E-2</v>
      </c>
      <c r="AE19" s="5">
        <v>-0.20344829559326169</v>
      </c>
      <c r="AF19" s="5">
        <v>6.4516105651855463E-2</v>
      </c>
      <c r="AG19" s="5">
        <v>-2.4603760033323051E-2</v>
      </c>
      <c r="AH19" s="5">
        <v>0.20344829559326169</v>
      </c>
    </row>
    <row r="20" spans="2:34" x14ac:dyDescent="0.2">
      <c r="B20" s="4">
        <v>2025</v>
      </c>
      <c r="C20" s="4">
        <v>16</v>
      </c>
      <c r="D20" s="4" t="s">
        <v>14</v>
      </c>
      <c r="E20" s="4" t="s">
        <v>25</v>
      </c>
      <c r="F20" s="4">
        <v>20</v>
      </c>
      <c r="G20" s="4">
        <v>34</v>
      </c>
      <c r="H20" s="8">
        <v>0.58669551577150281</v>
      </c>
      <c r="I20" s="4">
        <v>-141</v>
      </c>
      <c r="J20" s="8">
        <v>0.41330448422849719</v>
      </c>
      <c r="K20" s="4">
        <v>141</v>
      </c>
      <c r="L20" s="4" t="s">
        <v>14</v>
      </c>
      <c r="M20" s="4" t="s">
        <v>25</v>
      </c>
      <c r="N20" s="4">
        <v>0</v>
      </c>
      <c r="O20" s="15">
        <v>24.632489708924481</v>
      </c>
      <c r="P20" s="15">
        <v>21.467136197838052</v>
      </c>
      <c r="Q20" s="4">
        <v>3</v>
      </c>
      <c r="R20" s="9">
        <v>3.1653535110864301</v>
      </c>
      <c r="S20" s="4" t="s">
        <v>139</v>
      </c>
      <c r="T20" s="4">
        <v>-14</v>
      </c>
      <c r="U20" s="4" t="s">
        <v>138</v>
      </c>
      <c r="V20" s="4">
        <v>0</v>
      </c>
      <c r="W20" s="4">
        <v>46.5</v>
      </c>
      <c r="X20" s="9">
        <v>46.099625906762533</v>
      </c>
      <c r="Y20" s="4" t="s">
        <v>141</v>
      </c>
      <c r="Z20" s="4">
        <v>54</v>
      </c>
      <c r="AA20" s="4" t="s">
        <v>140</v>
      </c>
      <c r="AB20" s="4">
        <v>0</v>
      </c>
      <c r="AC20" s="5">
        <v>-1.7414329629955871E-2</v>
      </c>
      <c r="AD20" s="5">
        <v>-0.1277331079755511</v>
      </c>
      <c r="AE20" s="5">
        <v>-0.13060212207417329</v>
      </c>
      <c r="AF20" s="5">
        <v>0.1277331079755511</v>
      </c>
      <c r="AG20" s="5">
        <v>1.7414329629955871E-2</v>
      </c>
      <c r="AH20" s="5">
        <v>0.13060212207417329</v>
      </c>
    </row>
    <row r="21" spans="2:34" x14ac:dyDescent="0.2">
      <c r="B21" s="4">
        <v>2025</v>
      </c>
      <c r="C21" s="4">
        <v>16</v>
      </c>
      <c r="D21" s="4" t="s">
        <v>47</v>
      </c>
      <c r="E21" s="4" t="s">
        <v>34</v>
      </c>
      <c r="F21" s="4">
        <v>24</v>
      </c>
      <c r="G21" s="4">
        <v>29</v>
      </c>
      <c r="H21" s="8">
        <v>0.63463542655933669</v>
      </c>
      <c r="I21" s="4">
        <v>-173</v>
      </c>
      <c r="J21" s="8">
        <v>0.36536457344066331</v>
      </c>
      <c r="K21" s="4">
        <v>173</v>
      </c>
      <c r="L21" s="4" t="s">
        <v>47</v>
      </c>
      <c r="M21" s="4" t="s">
        <v>34</v>
      </c>
      <c r="N21" s="4">
        <v>0</v>
      </c>
      <c r="O21" s="15">
        <v>26.008792577260699</v>
      </c>
      <c r="P21" s="15">
        <v>19.205482056892109</v>
      </c>
      <c r="Q21" s="4">
        <v>7</v>
      </c>
      <c r="R21" s="9">
        <v>6.8033105203685844</v>
      </c>
      <c r="S21" s="4" t="s">
        <v>138</v>
      </c>
      <c r="T21" s="4">
        <v>-5</v>
      </c>
      <c r="U21" s="4" t="s">
        <v>138</v>
      </c>
      <c r="V21" s="4">
        <v>1</v>
      </c>
      <c r="W21" s="4">
        <v>52.5</v>
      </c>
      <c r="X21" s="9">
        <v>45.214274634152808</v>
      </c>
      <c r="Y21" s="4" t="s">
        <v>141</v>
      </c>
      <c r="Z21" s="4">
        <v>53</v>
      </c>
      <c r="AA21" s="4" t="s">
        <v>140</v>
      </c>
      <c r="AB21" s="4">
        <v>0</v>
      </c>
      <c r="AC21" s="5">
        <v>4.9338510591689852E-2</v>
      </c>
      <c r="AD21" s="5">
        <v>-0.15111447669364311</v>
      </c>
      <c r="AE21" s="5">
        <v>9.666322384561811E-2</v>
      </c>
      <c r="AF21" s="5">
        <v>0.15111447669364311</v>
      </c>
      <c r="AG21" s="5">
        <v>-4.9338510591689852E-2</v>
      </c>
      <c r="AH21" s="5">
        <v>-9.666322384561811E-2</v>
      </c>
    </row>
    <row r="22" spans="2:34" x14ac:dyDescent="0.2">
      <c r="B22" s="4">
        <v>2025</v>
      </c>
      <c r="C22" s="4">
        <v>16</v>
      </c>
      <c r="D22" s="4" t="s">
        <v>85</v>
      </c>
      <c r="E22" s="4" t="s">
        <v>37</v>
      </c>
      <c r="F22" s="4">
        <v>23</v>
      </c>
      <c r="G22" s="4">
        <v>21</v>
      </c>
      <c r="H22" s="8">
        <v>0.81979303236102408</v>
      </c>
      <c r="I22" s="4">
        <v>-454</v>
      </c>
      <c r="J22" s="8">
        <v>0.1802069676389759</v>
      </c>
      <c r="K22" s="4">
        <v>454</v>
      </c>
      <c r="L22" s="4" t="s">
        <v>85</v>
      </c>
      <c r="M22" s="4" t="s">
        <v>85</v>
      </c>
      <c r="N22" s="4">
        <v>1</v>
      </c>
      <c r="O22" s="9">
        <v>28.909848522152469</v>
      </c>
      <c r="P22" s="15">
        <v>12.994568673364149</v>
      </c>
      <c r="Q22" s="4">
        <v>14.5</v>
      </c>
      <c r="R22" s="9">
        <v>15.91527984878832</v>
      </c>
      <c r="S22" s="4" t="s">
        <v>139</v>
      </c>
      <c r="T22" s="4">
        <v>2</v>
      </c>
      <c r="U22" s="4" t="s">
        <v>138</v>
      </c>
      <c r="V22" s="4">
        <v>0</v>
      </c>
      <c r="W22" s="4">
        <v>37.5</v>
      </c>
      <c r="X22" s="9">
        <v>41.904417195516608</v>
      </c>
      <c r="Y22" s="4" t="s">
        <v>140</v>
      </c>
      <c r="Z22" s="4">
        <v>44</v>
      </c>
      <c r="AA22" s="4" t="s">
        <v>140</v>
      </c>
      <c r="AB22" s="4">
        <v>1</v>
      </c>
      <c r="AC22" s="5">
        <v>-8.6954813154916918E-2</v>
      </c>
      <c r="AD22" s="5">
        <v>2.735014315004702E-2</v>
      </c>
      <c r="AE22" s="5">
        <v>0.25526637633641558</v>
      </c>
      <c r="AF22" s="5">
        <v>-2.735014315004702E-2</v>
      </c>
      <c r="AG22" s="5">
        <v>8.6954813154916918E-2</v>
      </c>
      <c r="AH22" s="5">
        <v>-0.25526637633641558</v>
      </c>
    </row>
    <row r="23" spans="2:34" x14ac:dyDescent="0.2">
      <c r="B23" s="4">
        <v>2025</v>
      </c>
      <c r="C23" s="4">
        <v>16</v>
      </c>
      <c r="D23" s="4" t="s">
        <v>16</v>
      </c>
      <c r="E23" s="4" t="s">
        <v>32</v>
      </c>
      <c r="F23" s="4">
        <v>24</v>
      </c>
      <c r="G23" s="4">
        <v>28</v>
      </c>
      <c r="H23" s="8">
        <v>0.41655455948100439</v>
      </c>
      <c r="I23" s="4">
        <v>140</v>
      </c>
      <c r="J23" s="8">
        <v>0.5834454405189955</v>
      </c>
      <c r="K23" s="4">
        <v>-140</v>
      </c>
      <c r="L23" s="4" t="s">
        <v>32</v>
      </c>
      <c r="M23" s="4" t="s">
        <v>32</v>
      </c>
      <c r="N23" s="4">
        <v>1</v>
      </c>
      <c r="O23" s="9">
        <v>19.247537889896488</v>
      </c>
      <c r="P23" s="15">
        <v>23.037053194399551</v>
      </c>
      <c r="Q23" s="4">
        <v>3</v>
      </c>
      <c r="R23" s="9">
        <v>-3.789515304503063</v>
      </c>
      <c r="S23" s="4" t="s">
        <v>138</v>
      </c>
      <c r="T23" s="4">
        <v>-4</v>
      </c>
      <c r="U23" s="4" t="s">
        <v>138</v>
      </c>
      <c r="V23" s="4">
        <v>1</v>
      </c>
      <c r="W23" s="4">
        <v>48.5</v>
      </c>
      <c r="X23" s="9">
        <v>42.284591084296054</v>
      </c>
      <c r="Y23" s="4" t="s">
        <v>141</v>
      </c>
      <c r="Z23" s="4">
        <v>52</v>
      </c>
      <c r="AA23" s="4" t="s">
        <v>140</v>
      </c>
      <c r="AB23" s="4">
        <v>0</v>
      </c>
      <c r="AC23" s="5">
        <v>9.8875787523057729E-2</v>
      </c>
      <c r="AD23" s="5">
        <v>-0.20078421963585749</v>
      </c>
      <c r="AE23" s="5">
        <v>-7.0050115170686142E-2</v>
      </c>
      <c r="AF23" s="5">
        <v>0.20078421963585749</v>
      </c>
      <c r="AG23" s="5">
        <v>-9.8875787523057729E-2</v>
      </c>
      <c r="AH23" s="5">
        <v>7.0050115170686142E-2</v>
      </c>
    </row>
    <row r="24" spans="2:34" x14ac:dyDescent="0.2">
      <c r="B24" s="4">
        <v>2025</v>
      </c>
      <c r="C24" s="4">
        <v>16</v>
      </c>
      <c r="D24" s="4" t="s">
        <v>22</v>
      </c>
      <c r="E24" s="4" t="s">
        <v>44</v>
      </c>
      <c r="F24" s="4">
        <v>27</v>
      </c>
      <c r="G24" s="4">
        <v>48</v>
      </c>
      <c r="H24" s="8">
        <v>0.48706739689137951</v>
      </c>
      <c r="I24" s="4">
        <v>105</v>
      </c>
      <c r="J24" s="8">
        <v>0.51293260310862054</v>
      </c>
      <c r="K24" s="4">
        <v>-105</v>
      </c>
      <c r="L24" s="4" t="s">
        <v>44</v>
      </c>
      <c r="M24" s="4" t="s">
        <v>44</v>
      </c>
      <c r="N24" s="4">
        <v>1</v>
      </c>
      <c r="O24" s="9">
        <v>23.744265193632749</v>
      </c>
      <c r="P24" s="15">
        <v>24.19909207119402</v>
      </c>
      <c r="Q24" s="4">
        <v>-6.5</v>
      </c>
      <c r="R24" s="9">
        <v>-0.45482687756127049</v>
      </c>
      <c r="S24" s="4" t="s">
        <v>139</v>
      </c>
      <c r="T24" s="4">
        <v>-21</v>
      </c>
      <c r="U24" s="4" t="s">
        <v>138</v>
      </c>
      <c r="V24" s="4">
        <v>0</v>
      </c>
      <c r="W24" s="4">
        <v>46.5</v>
      </c>
      <c r="X24" s="9">
        <v>47.943357264826759</v>
      </c>
      <c r="Y24" s="4" t="s">
        <v>140</v>
      </c>
      <c r="Z24" s="4">
        <v>75</v>
      </c>
      <c r="AA24" s="4" t="s">
        <v>140</v>
      </c>
      <c r="AB24" s="4">
        <v>1</v>
      </c>
      <c r="AC24" s="5">
        <v>-2.2431659698486331E-2</v>
      </c>
      <c r="AD24" s="5">
        <v>-0.4026968517000713</v>
      </c>
      <c r="AE24" s="5">
        <v>-0.13118640838130829</v>
      </c>
      <c r="AF24" s="5">
        <v>0.4026968517000713</v>
      </c>
      <c r="AG24" s="5">
        <v>2.2431659698486331E-2</v>
      </c>
      <c r="AH24" s="5">
        <v>0.13118640838130829</v>
      </c>
    </row>
  </sheetData>
  <mergeCells count="6">
    <mergeCell ref="AF7:AH7"/>
    <mergeCell ref="H7:N7"/>
    <mergeCell ref="O7:P7"/>
    <mergeCell ref="Q7:V7"/>
    <mergeCell ref="W7:AB7"/>
    <mergeCell ref="AC7:AE7"/>
  </mergeCells>
  <conditionalFormatting sqref="AC9:AC2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9:AD2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9:AE2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9:AF2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9:AG2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9:AH2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1897EAE-E590-1748-BD20-DAA42D057E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N9:N24</xm:sqref>
        </x14:conditionalFormatting>
        <x14:conditionalFormatting xmlns:xm="http://schemas.microsoft.com/office/excel/2006/main">
          <x14:cfRule type="iconSet" priority="2" id="{61C95644-8358-0447-8A6C-E9439143A97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V9:V24</xm:sqref>
        </x14:conditionalFormatting>
        <x14:conditionalFormatting xmlns:xm="http://schemas.microsoft.com/office/excel/2006/main">
          <x14:cfRule type="iconSet" priority="3" id="{4E0D31E8-1B92-2C40-B8C0-02741CFA7F0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AB9:AB24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9093-D2E4-C14D-97FC-13D68708F603}">
  <dimension ref="B2:AH24"/>
  <sheetViews>
    <sheetView showGridLines="0" workbookViewId="0">
      <selection activeCell="Y36" sqref="Y36"/>
    </sheetView>
  </sheetViews>
  <sheetFormatPr baseColWidth="10" defaultRowHeight="15" x14ac:dyDescent="0.2"/>
  <cols>
    <col min="2" max="3" width="9.5" customWidth="1"/>
    <col min="4" max="4" width="10.5" bestFit="1" customWidth="1"/>
    <col min="5" max="5" width="9.83203125" bestFit="1" customWidth="1"/>
    <col min="6" max="6" width="10.6640625" bestFit="1" customWidth="1"/>
    <col min="7" max="7" width="9.83203125" customWidth="1"/>
    <col min="8" max="8" width="10.1640625" hidden="1" customWidth="1"/>
    <col min="9" max="9" width="13.33203125" hidden="1" customWidth="1"/>
    <col min="10" max="10" width="9.5" hidden="1" customWidth="1"/>
    <col min="11" max="11" width="12.6640625" hidden="1" customWidth="1"/>
    <col min="12" max="12" width="4.83203125" hidden="1" customWidth="1"/>
    <col min="13" max="13" width="6.6640625" hidden="1" customWidth="1"/>
    <col min="14" max="14" width="14" hidden="1" customWidth="1"/>
    <col min="15" max="16" width="11.6640625" customWidth="1"/>
    <col min="17" max="17" width="10.1640625" bestFit="1" customWidth="1"/>
    <col min="18" max="18" width="10.83203125" bestFit="1" customWidth="1"/>
    <col min="19" max="19" width="10.33203125" bestFit="1" customWidth="1"/>
    <col min="20" max="20" width="5.6640625" bestFit="1" customWidth="1"/>
    <col min="21" max="21" width="11.6640625" bestFit="1" customWidth="1"/>
    <col min="22" max="22" width="13.6640625" bestFit="1" customWidth="1"/>
    <col min="23" max="23" width="8.6640625" bestFit="1" customWidth="1"/>
    <col min="24" max="24" width="9.33203125" bestFit="1" customWidth="1"/>
    <col min="25" max="25" width="8.83203125" bestFit="1" customWidth="1"/>
    <col min="26" max="26" width="4.83203125" bestFit="1" customWidth="1"/>
    <col min="27" max="27" width="10.1640625" bestFit="1" customWidth="1"/>
    <col min="28" max="28" width="12.1640625" bestFit="1" customWidth="1"/>
    <col min="29" max="30" width="10.1640625" bestFit="1" customWidth="1"/>
    <col min="31" max="31" width="10.6640625" bestFit="1" customWidth="1"/>
    <col min="32" max="33" width="10.1640625" bestFit="1" customWidth="1"/>
    <col min="34" max="34" width="10.6640625" bestFit="1" customWidth="1"/>
  </cols>
  <sheetData>
    <row r="2" spans="2:34" x14ac:dyDescent="0.2">
      <c r="B2" s="7" t="s">
        <v>63</v>
      </c>
      <c r="C2" s="13">
        <f>COUNTA($C$9:$C$24)</f>
        <v>16</v>
      </c>
    </row>
    <row r="3" spans="2:34" x14ac:dyDescent="0.2">
      <c r="B3" s="7" t="s">
        <v>145</v>
      </c>
      <c r="C3" s="13">
        <f>SUM(N9:$N$24)</f>
        <v>10</v>
      </c>
      <c r="D3" s="14">
        <f>C3/$C$2</f>
        <v>0.625</v>
      </c>
    </row>
    <row r="4" spans="2:34" x14ac:dyDescent="0.2">
      <c r="B4" s="7" t="s">
        <v>146</v>
      </c>
      <c r="C4" s="13">
        <f>SUM(V9:$V$24)</f>
        <v>10</v>
      </c>
      <c r="D4" s="14">
        <f t="shared" ref="D4:D5" si="0">C4/$C$2</f>
        <v>0.625</v>
      </c>
    </row>
    <row r="5" spans="2:34" x14ac:dyDescent="0.2">
      <c r="B5" s="7" t="s">
        <v>150</v>
      </c>
      <c r="C5" s="13">
        <f>SUM(AB9:$AB$24)</f>
        <v>7</v>
      </c>
      <c r="D5" s="14">
        <f t="shared" si="0"/>
        <v>0.4375</v>
      </c>
    </row>
    <row r="6" spans="2:34" x14ac:dyDescent="0.2">
      <c r="C6" s="6"/>
    </row>
    <row r="7" spans="2:34" x14ac:dyDescent="0.2">
      <c r="H7" s="20" t="s">
        <v>142</v>
      </c>
      <c r="I7" s="20"/>
      <c r="J7" s="20"/>
      <c r="K7" s="20"/>
      <c r="L7" s="20"/>
      <c r="M7" s="20"/>
      <c r="N7" s="20"/>
      <c r="O7" s="20" t="s">
        <v>149</v>
      </c>
      <c r="P7" s="20"/>
      <c r="Q7" s="20" t="s">
        <v>143</v>
      </c>
      <c r="R7" s="20"/>
      <c r="S7" s="20"/>
      <c r="T7" s="20"/>
      <c r="U7" s="20"/>
      <c r="V7" s="20"/>
      <c r="W7" s="20" t="s">
        <v>144</v>
      </c>
      <c r="X7" s="20"/>
      <c r="Y7" s="20"/>
      <c r="Z7" s="20"/>
      <c r="AA7" s="20"/>
      <c r="AB7" s="20"/>
      <c r="AC7" s="20" t="s">
        <v>55</v>
      </c>
      <c r="AD7" s="20"/>
      <c r="AE7" s="20"/>
      <c r="AF7" s="20" t="s">
        <v>56</v>
      </c>
      <c r="AG7" s="20"/>
      <c r="AH7" s="20"/>
    </row>
    <row r="8" spans="2:34" x14ac:dyDescent="0.2">
      <c r="B8" s="1" t="s">
        <v>0</v>
      </c>
      <c r="C8" s="1" t="s">
        <v>1</v>
      </c>
      <c r="D8" s="1" t="s">
        <v>2</v>
      </c>
      <c r="E8" s="1" t="s">
        <v>3</v>
      </c>
      <c r="F8" s="1" t="s">
        <v>151</v>
      </c>
      <c r="G8" s="1" t="s">
        <v>152</v>
      </c>
      <c r="H8" s="1" t="s">
        <v>4</v>
      </c>
      <c r="I8" s="1" t="s">
        <v>7</v>
      </c>
      <c r="J8" s="1" t="s">
        <v>5</v>
      </c>
      <c r="K8" s="1" t="s">
        <v>8</v>
      </c>
      <c r="L8" s="1" t="s">
        <v>6</v>
      </c>
      <c r="M8" s="1" t="s">
        <v>9</v>
      </c>
      <c r="N8" s="1" t="s">
        <v>129</v>
      </c>
      <c r="O8" s="1" t="s">
        <v>139</v>
      </c>
      <c r="P8" s="1" t="s">
        <v>138</v>
      </c>
      <c r="Q8" s="1" t="s">
        <v>126</v>
      </c>
      <c r="R8" s="1" t="s">
        <v>127</v>
      </c>
      <c r="S8" s="1" t="s">
        <v>130</v>
      </c>
      <c r="T8" s="1" t="s">
        <v>131</v>
      </c>
      <c r="U8" s="1" t="s">
        <v>132</v>
      </c>
      <c r="V8" s="1" t="s">
        <v>133</v>
      </c>
      <c r="W8" s="1" t="s">
        <v>128</v>
      </c>
      <c r="X8" s="1" t="s">
        <v>148</v>
      </c>
      <c r="Y8" s="1" t="s">
        <v>134</v>
      </c>
      <c r="Z8" s="1" t="s">
        <v>135</v>
      </c>
      <c r="AA8" s="1" t="s">
        <v>136</v>
      </c>
      <c r="AB8" s="1" t="s">
        <v>137</v>
      </c>
      <c r="AC8" s="1" t="s">
        <v>57</v>
      </c>
      <c r="AD8" s="1" t="s">
        <v>58</v>
      </c>
      <c r="AE8" s="1" t="s">
        <v>59</v>
      </c>
      <c r="AF8" s="1" t="s">
        <v>57</v>
      </c>
      <c r="AG8" s="1" t="s">
        <v>58</v>
      </c>
      <c r="AH8" s="1" t="s">
        <v>59</v>
      </c>
    </row>
    <row r="9" spans="2:34" x14ac:dyDescent="0.2">
      <c r="B9" s="4">
        <v>2025</v>
      </c>
      <c r="C9" s="4">
        <v>17</v>
      </c>
      <c r="D9" s="4" t="s">
        <v>52</v>
      </c>
      <c r="E9" s="4" t="s">
        <v>20</v>
      </c>
      <c r="F9" s="4">
        <v>23</v>
      </c>
      <c r="G9" s="4">
        <v>30</v>
      </c>
      <c r="H9" s="8">
        <v>0.41282143019888617</v>
      </c>
      <c r="I9" s="4">
        <v>142</v>
      </c>
      <c r="J9" s="8">
        <v>0.58717856980111383</v>
      </c>
      <c r="K9" s="4">
        <v>-142</v>
      </c>
      <c r="L9" s="4" t="s">
        <v>20</v>
      </c>
      <c r="M9" s="4" t="s">
        <v>20</v>
      </c>
      <c r="N9" s="4">
        <v>1</v>
      </c>
      <c r="O9" s="15">
        <v>21.332065901802299</v>
      </c>
      <c r="P9" s="15">
        <v>24.126748990821628</v>
      </c>
      <c r="Q9" s="4">
        <v>-8.5</v>
      </c>
      <c r="R9" s="15">
        <v>-2.7946830890193302</v>
      </c>
      <c r="S9" s="4" t="s">
        <v>139</v>
      </c>
      <c r="T9" s="4">
        <v>-7</v>
      </c>
      <c r="U9" s="4" t="s">
        <v>139</v>
      </c>
      <c r="V9" s="4">
        <v>1</v>
      </c>
      <c r="W9" s="4">
        <v>50.5</v>
      </c>
      <c r="X9" s="9">
        <v>45.458814892623927</v>
      </c>
      <c r="Y9" s="4" t="s">
        <v>141</v>
      </c>
      <c r="Z9" s="4">
        <v>53</v>
      </c>
      <c r="AA9" s="4" t="s">
        <v>140</v>
      </c>
      <c r="AB9" s="4">
        <v>0</v>
      </c>
      <c r="AC9" s="5">
        <v>0.2319403360056323</v>
      </c>
      <c r="AD9" s="5">
        <v>-0.22120343083920679</v>
      </c>
      <c r="AE9" s="5">
        <v>9.9053645956105205E-2</v>
      </c>
      <c r="AF9" s="5">
        <v>0.22120343083920679</v>
      </c>
      <c r="AG9" s="5">
        <v>-0.2319403360056323</v>
      </c>
      <c r="AH9" s="5">
        <v>-9.9053645956105205E-2</v>
      </c>
    </row>
    <row r="10" spans="2:34" x14ac:dyDescent="0.2">
      <c r="B10" s="4">
        <v>2025</v>
      </c>
      <c r="C10" s="4">
        <v>17</v>
      </c>
      <c r="D10" s="4" t="s">
        <v>77</v>
      </c>
      <c r="E10" s="4" t="s">
        <v>47</v>
      </c>
      <c r="F10" s="4">
        <v>23</v>
      </c>
      <c r="G10" s="4">
        <v>10</v>
      </c>
      <c r="H10" s="8">
        <v>0.42549773720014372</v>
      </c>
      <c r="I10" s="4">
        <v>135</v>
      </c>
      <c r="J10" s="8">
        <v>0.57450226279985628</v>
      </c>
      <c r="K10" s="4">
        <v>-135</v>
      </c>
      <c r="L10" s="4" t="s">
        <v>47</v>
      </c>
      <c r="M10" s="4" t="s">
        <v>77</v>
      </c>
      <c r="N10" s="4">
        <v>0</v>
      </c>
      <c r="O10" s="15">
        <v>20.706238304403229</v>
      </c>
      <c r="P10" s="15">
        <v>24.307338431866409</v>
      </c>
      <c r="Q10" s="4">
        <v>-7.5</v>
      </c>
      <c r="R10" s="15">
        <v>-3.6011001274631802</v>
      </c>
      <c r="S10" s="4" t="s">
        <v>139</v>
      </c>
      <c r="T10" s="4">
        <v>13</v>
      </c>
      <c r="U10" s="4" t="s">
        <v>139</v>
      </c>
      <c r="V10" s="4">
        <v>1</v>
      </c>
      <c r="W10" s="4">
        <v>43.5</v>
      </c>
      <c r="X10" s="9">
        <v>45.013576736269641</v>
      </c>
      <c r="Y10" s="4" t="s">
        <v>140</v>
      </c>
      <c r="Z10" s="4">
        <v>33</v>
      </c>
      <c r="AA10" s="4" t="s">
        <v>141</v>
      </c>
      <c r="AB10" s="4">
        <v>0</v>
      </c>
      <c r="AC10" s="5">
        <v>-0.25252072016398108</v>
      </c>
      <c r="AD10" s="5">
        <v>0.46371796727180481</v>
      </c>
      <c r="AE10" s="5">
        <v>-2.5729133532597471E-2</v>
      </c>
      <c r="AF10" s="5">
        <v>-0.46371796727180481</v>
      </c>
      <c r="AG10" s="5">
        <v>0.25252072016398108</v>
      </c>
      <c r="AH10" s="5">
        <v>2.5729133532597471E-2</v>
      </c>
    </row>
    <row r="11" spans="2:34" x14ac:dyDescent="0.2">
      <c r="B11" s="4">
        <v>2025</v>
      </c>
      <c r="C11" s="4">
        <v>17</v>
      </c>
      <c r="D11" s="4" t="s">
        <v>46</v>
      </c>
      <c r="E11" s="4" t="s">
        <v>14</v>
      </c>
      <c r="F11" s="4">
        <v>13</v>
      </c>
      <c r="G11" s="4">
        <v>20</v>
      </c>
      <c r="H11" s="8">
        <v>0.43793113003547351</v>
      </c>
      <c r="I11" s="4">
        <v>128</v>
      </c>
      <c r="J11" s="8">
        <v>0.56206886996452643</v>
      </c>
      <c r="K11" s="4">
        <v>-128</v>
      </c>
      <c r="L11" s="4" t="s">
        <v>14</v>
      </c>
      <c r="M11" s="4" t="s">
        <v>14</v>
      </c>
      <c r="N11" s="4">
        <v>1</v>
      </c>
      <c r="O11" s="15">
        <v>22.35682837886436</v>
      </c>
      <c r="P11" s="15">
        <v>23.84626020725829</v>
      </c>
      <c r="Q11" s="4">
        <v>-13.5</v>
      </c>
      <c r="R11" s="9">
        <v>-1.489431828393929</v>
      </c>
      <c r="S11" s="4" t="s">
        <v>139</v>
      </c>
      <c r="T11" s="4">
        <v>-7</v>
      </c>
      <c r="U11" s="4" t="s">
        <v>139</v>
      </c>
      <c r="V11" s="4">
        <v>1</v>
      </c>
      <c r="W11" s="4">
        <v>36.5</v>
      </c>
      <c r="X11" s="9">
        <v>46.203088586122647</v>
      </c>
      <c r="Y11" s="4" t="s">
        <v>140</v>
      </c>
      <c r="Z11" s="4">
        <v>33</v>
      </c>
      <c r="AA11" s="4" t="s">
        <v>141</v>
      </c>
      <c r="AB11" s="4">
        <v>0</v>
      </c>
      <c r="AC11" s="5">
        <v>-0.15266824903942289</v>
      </c>
      <c r="AD11" s="5">
        <v>-8.4641396159857094E-2</v>
      </c>
      <c r="AE11" s="5">
        <v>0.28701658937193097</v>
      </c>
      <c r="AF11" s="5">
        <v>8.4641396159857094E-2</v>
      </c>
      <c r="AG11" s="5">
        <v>0.15266824903942289</v>
      </c>
      <c r="AH11" s="5">
        <v>-0.28701658937193097</v>
      </c>
    </row>
    <row r="12" spans="2:34" x14ac:dyDescent="0.2">
      <c r="B12" s="4">
        <v>2025</v>
      </c>
      <c r="C12" s="4">
        <v>17</v>
      </c>
      <c r="D12" s="4" t="s">
        <v>29</v>
      </c>
      <c r="E12" s="4" t="s">
        <v>85</v>
      </c>
      <c r="F12" s="4">
        <v>16</v>
      </c>
      <c r="G12" s="4">
        <v>20</v>
      </c>
      <c r="H12" s="8">
        <v>0.53751412059105863</v>
      </c>
      <c r="I12" s="4">
        <v>-116</v>
      </c>
      <c r="J12" s="8">
        <v>0.46248587940894142</v>
      </c>
      <c r="K12" s="4">
        <v>116</v>
      </c>
      <c r="L12" s="4" t="s">
        <v>29</v>
      </c>
      <c r="M12" s="4" t="s">
        <v>85</v>
      </c>
      <c r="N12" s="4">
        <v>0</v>
      </c>
      <c r="O12" s="15">
        <v>22.239051791293011</v>
      </c>
      <c r="P12" s="15">
        <v>22.121618389548519</v>
      </c>
      <c r="Q12" s="4">
        <v>1.5</v>
      </c>
      <c r="R12" s="9">
        <v>0.11743340174448851</v>
      </c>
      <c r="S12" s="4" t="s">
        <v>138</v>
      </c>
      <c r="T12" s="4">
        <v>-4</v>
      </c>
      <c r="U12" s="4" t="s">
        <v>138</v>
      </c>
      <c r="V12" s="4">
        <v>1</v>
      </c>
      <c r="W12" s="4">
        <v>39.5</v>
      </c>
      <c r="X12" s="9">
        <v>44.360670180841517</v>
      </c>
      <c r="Y12" s="4" t="s">
        <v>140</v>
      </c>
      <c r="Z12" s="4">
        <v>36</v>
      </c>
      <c r="AA12" s="4" t="s">
        <v>141</v>
      </c>
      <c r="AB12" s="4">
        <v>0</v>
      </c>
      <c r="AC12" s="5">
        <v>-0.14214936513749379</v>
      </c>
      <c r="AD12" s="5">
        <v>7.9646910390546249E-2</v>
      </c>
      <c r="AE12" s="5">
        <v>-0.21228645587789599</v>
      </c>
      <c r="AF12" s="5">
        <v>-7.9646910390546249E-2</v>
      </c>
      <c r="AG12" s="5">
        <v>0.14214936513749379</v>
      </c>
      <c r="AH12" s="5">
        <v>0.21228645587789599</v>
      </c>
    </row>
    <row r="13" spans="2:34" x14ac:dyDescent="0.2">
      <c r="B13" s="4">
        <v>2025</v>
      </c>
      <c r="C13" s="4">
        <v>17</v>
      </c>
      <c r="D13" s="4" t="s">
        <v>40</v>
      </c>
      <c r="E13" s="4" t="s">
        <v>16</v>
      </c>
      <c r="F13" s="4">
        <v>24</v>
      </c>
      <c r="G13" s="4">
        <v>41</v>
      </c>
      <c r="H13" s="8">
        <v>0.63540445235652621</v>
      </c>
      <c r="I13" s="4">
        <v>-174</v>
      </c>
      <c r="J13" s="8">
        <v>0.36459554764347379</v>
      </c>
      <c r="K13" s="4">
        <v>174</v>
      </c>
      <c r="L13" s="4" t="s">
        <v>40</v>
      </c>
      <c r="M13" s="4" t="s">
        <v>16</v>
      </c>
      <c r="N13" s="4">
        <v>0</v>
      </c>
      <c r="O13" s="15">
        <v>25.37538507781553</v>
      </c>
      <c r="P13" s="15">
        <v>25.26811681177249</v>
      </c>
      <c r="Q13" s="4">
        <v>3</v>
      </c>
      <c r="R13" s="9">
        <v>0.1072682660430466</v>
      </c>
      <c r="S13" s="4" t="s">
        <v>138</v>
      </c>
      <c r="T13" s="4">
        <v>-17</v>
      </c>
      <c r="U13" s="4" t="s">
        <v>138</v>
      </c>
      <c r="V13" s="4">
        <v>1</v>
      </c>
      <c r="W13" s="4">
        <v>40.5</v>
      </c>
      <c r="X13" s="9">
        <v>50.643501889588023</v>
      </c>
      <c r="Y13" s="4" t="s">
        <v>140</v>
      </c>
      <c r="Z13" s="4">
        <v>65</v>
      </c>
      <c r="AA13" s="4" t="s">
        <v>140</v>
      </c>
      <c r="AB13" s="4">
        <v>1</v>
      </c>
      <c r="AC13" s="5">
        <v>0.117405456966824</v>
      </c>
      <c r="AD13" s="5">
        <v>-0.33768915812174483</v>
      </c>
      <c r="AE13" s="5">
        <v>-4.0311717987060536E-3</v>
      </c>
      <c r="AF13" s="5">
        <v>0.33768915812174483</v>
      </c>
      <c r="AG13" s="5">
        <v>-0.117405456966824</v>
      </c>
      <c r="AH13" s="5">
        <v>4.0311717987060536E-3</v>
      </c>
    </row>
    <row r="14" spans="2:34" x14ac:dyDescent="0.2">
      <c r="B14" s="4">
        <v>2025</v>
      </c>
      <c r="C14" s="4">
        <v>17</v>
      </c>
      <c r="D14" s="4" t="s">
        <v>19</v>
      </c>
      <c r="E14" s="4" t="s">
        <v>26</v>
      </c>
      <c r="F14" s="4">
        <v>10</v>
      </c>
      <c r="G14" s="4">
        <v>27</v>
      </c>
      <c r="H14" s="8">
        <v>0.35131865483870311</v>
      </c>
      <c r="I14" s="4">
        <v>184</v>
      </c>
      <c r="J14" s="8">
        <v>0.64868134516129694</v>
      </c>
      <c r="K14" s="4">
        <v>-184</v>
      </c>
      <c r="L14" s="4" t="s">
        <v>26</v>
      </c>
      <c r="M14" s="4" t="s">
        <v>26</v>
      </c>
      <c r="N14" s="4">
        <v>1</v>
      </c>
      <c r="O14" s="15">
        <v>18.598230455760248</v>
      </c>
      <c r="P14" s="15">
        <v>28.40619118159827</v>
      </c>
      <c r="Q14" s="4">
        <v>-7</v>
      </c>
      <c r="R14" s="15">
        <v>-9.807960725838015</v>
      </c>
      <c r="S14" s="4" t="s">
        <v>138</v>
      </c>
      <c r="T14" s="4">
        <v>-17</v>
      </c>
      <c r="U14" s="4" t="s">
        <v>138</v>
      </c>
      <c r="V14" s="4">
        <v>1</v>
      </c>
      <c r="W14" s="4">
        <v>42.5</v>
      </c>
      <c r="X14" s="9">
        <v>47.004421637358519</v>
      </c>
      <c r="Y14" s="4" t="s">
        <v>140</v>
      </c>
      <c r="Z14" s="4">
        <v>37</v>
      </c>
      <c r="AA14" s="4" t="s">
        <v>141</v>
      </c>
      <c r="AB14" s="4">
        <v>0</v>
      </c>
      <c r="AC14" s="5">
        <v>-0.47411228179931642</v>
      </c>
      <c r="AD14" s="5">
        <v>5.35889038672814E-2</v>
      </c>
      <c r="AE14" s="5">
        <v>-9.2909699394589373E-2</v>
      </c>
      <c r="AF14" s="5">
        <v>-5.35889038672814E-2</v>
      </c>
      <c r="AG14" s="5">
        <v>0.47411228179931642</v>
      </c>
      <c r="AH14" s="5">
        <v>9.2909699394589373E-2</v>
      </c>
    </row>
    <row r="15" spans="2:34" x14ac:dyDescent="0.2">
      <c r="B15" s="4">
        <v>2025</v>
      </c>
      <c r="C15" s="4">
        <v>17</v>
      </c>
      <c r="D15" s="4" t="s">
        <v>41</v>
      </c>
      <c r="E15" s="4" t="s">
        <v>23</v>
      </c>
      <c r="F15" s="4">
        <v>37</v>
      </c>
      <c r="G15" s="4">
        <v>14</v>
      </c>
      <c r="H15" s="8">
        <v>0.61258942461821686</v>
      </c>
      <c r="I15" s="4">
        <v>-158</v>
      </c>
      <c r="J15" s="8">
        <v>0.38741057538178308</v>
      </c>
      <c r="K15" s="4">
        <v>158</v>
      </c>
      <c r="L15" s="4" t="s">
        <v>41</v>
      </c>
      <c r="M15" s="4" t="s">
        <v>41</v>
      </c>
      <c r="N15" s="4">
        <v>1</v>
      </c>
      <c r="O15" s="15">
        <v>26.148549655458758</v>
      </c>
      <c r="P15" s="15">
        <v>24.94756395998073</v>
      </c>
      <c r="Q15" s="4">
        <v>7.5</v>
      </c>
      <c r="R15" s="9">
        <v>1.200985695478028</v>
      </c>
      <c r="S15" s="4" t="s">
        <v>138</v>
      </c>
      <c r="T15" s="4">
        <v>23</v>
      </c>
      <c r="U15" s="4" t="s">
        <v>139</v>
      </c>
      <c r="V15" s="4">
        <v>0</v>
      </c>
      <c r="W15" s="4">
        <v>52.5</v>
      </c>
      <c r="X15" s="9">
        <v>51.096113615439492</v>
      </c>
      <c r="Y15" s="4" t="s">
        <v>141</v>
      </c>
      <c r="Z15" s="4">
        <v>51</v>
      </c>
      <c r="AA15" s="4" t="s">
        <v>141</v>
      </c>
      <c r="AB15" s="4">
        <v>1</v>
      </c>
      <c r="AC15" s="5">
        <v>0.33032649837128097</v>
      </c>
      <c r="AD15" s="5">
        <v>2.2704843889202991E-2</v>
      </c>
      <c r="AE15" s="5">
        <v>-5.1734850956843451E-2</v>
      </c>
      <c r="AF15" s="5">
        <v>-2.2704843889202991E-2</v>
      </c>
      <c r="AG15" s="5">
        <v>-0.33032649837128097</v>
      </c>
      <c r="AH15" s="5">
        <v>5.1734850956843451E-2</v>
      </c>
    </row>
    <row r="16" spans="2:34" x14ac:dyDescent="0.2">
      <c r="B16" s="4">
        <v>2025</v>
      </c>
      <c r="C16" s="4">
        <v>17</v>
      </c>
      <c r="D16" s="4" t="s">
        <v>35</v>
      </c>
      <c r="E16" s="4" t="s">
        <v>34</v>
      </c>
      <c r="F16" s="4">
        <v>13</v>
      </c>
      <c r="G16" s="4">
        <v>6</v>
      </c>
      <c r="H16" s="8">
        <v>0.30626109673214358</v>
      </c>
      <c r="I16" s="4">
        <v>226</v>
      </c>
      <c r="J16" s="8">
        <v>0.69373890326785637</v>
      </c>
      <c r="K16" s="4">
        <v>-226</v>
      </c>
      <c r="L16" s="4" t="s">
        <v>34</v>
      </c>
      <c r="M16" s="4" t="s">
        <v>35</v>
      </c>
      <c r="N16" s="4">
        <v>0</v>
      </c>
      <c r="O16" s="15">
        <v>19.07209487906913</v>
      </c>
      <c r="P16" s="15">
        <v>22.81096650874672</v>
      </c>
      <c r="Q16" s="4">
        <v>-3</v>
      </c>
      <c r="R16" s="15">
        <v>-3.7388716296775901</v>
      </c>
      <c r="S16" s="4" t="s">
        <v>138</v>
      </c>
      <c r="T16" s="4">
        <v>7</v>
      </c>
      <c r="U16" s="4" t="s">
        <v>139</v>
      </c>
      <c r="V16" s="4">
        <v>0</v>
      </c>
      <c r="W16" s="4">
        <v>33.5</v>
      </c>
      <c r="X16" s="9">
        <v>41.883061387815857</v>
      </c>
      <c r="Y16" s="4" t="s">
        <v>140</v>
      </c>
      <c r="Z16" s="4">
        <v>19</v>
      </c>
      <c r="AA16" s="4" t="s">
        <v>141</v>
      </c>
      <c r="AB16" s="4">
        <v>0</v>
      </c>
      <c r="AC16" s="5">
        <v>-0.20642806034462119</v>
      </c>
      <c r="AD16" s="5">
        <v>0.21981136500835419</v>
      </c>
      <c r="AE16" s="5">
        <v>0.23588852655319939</v>
      </c>
      <c r="AF16" s="5">
        <v>-0.21981136500835419</v>
      </c>
      <c r="AG16" s="5">
        <v>0.20642806034462119</v>
      </c>
      <c r="AH16" s="5">
        <v>-0.23588852655319939</v>
      </c>
    </row>
    <row r="17" spans="2:34" x14ac:dyDescent="0.2">
      <c r="B17" s="4">
        <v>2025</v>
      </c>
      <c r="C17" s="4">
        <v>17</v>
      </c>
      <c r="D17" s="4" t="s">
        <v>22</v>
      </c>
      <c r="E17" s="4" t="s">
        <v>25</v>
      </c>
      <c r="F17" s="4">
        <v>17</v>
      </c>
      <c r="G17" s="4">
        <v>23</v>
      </c>
      <c r="H17" s="8">
        <v>0.41131428422671379</v>
      </c>
      <c r="I17" s="4">
        <v>143</v>
      </c>
      <c r="J17" s="8">
        <v>0.58868571577328621</v>
      </c>
      <c r="K17" s="4">
        <v>-143</v>
      </c>
      <c r="L17" s="4" t="s">
        <v>25</v>
      </c>
      <c r="M17" s="4" t="s">
        <v>25</v>
      </c>
      <c r="N17" s="4">
        <v>1</v>
      </c>
      <c r="O17" s="15">
        <v>20.869518837182529</v>
      </c>
      <c r="P17" s="15">
        <v>24.152507244820601</v>
      </c>
      <c r="Q17" s="4">
        <v>-6.5</v>
      </c>
      <c r="R17" s="9">
        <v>-3.2829884076380789</v>
      </c>
      <c r="S17" s="4" t="s">
        <v>139</v>
      </c>
      <c r="T17" s="4">
        <v>-6</v>
      </c>
      <c r="U17" s="4" t="s">
        <v>139</v>
      </c>
      <c r="V17" s="4">
        <v>1</v>
      </c>
      <c r="W17" s="4">
        <v>48.5</v>
      </c>
      <c r="X17" s="9">
        <v>45.02202608200313</v>
      </c>
      <c r="Y17" s="4" t="s">
        <v>141</v>
      </c>
      <c r="Z17" s="4">
        <v>40</v>
      </c>
      <c r="AA17" s="4" t="s">
        <v>141</v>
      </c>
      <c r="AB17" s="4">
        <v>1</v>
      </c>
      <c r="AC17" s="5">
        <v>-0.17091699232134899</v>
      </c>
      <c r="AD17" s="5">
        <v>4.0298069732776576E-3</v>
      </c>
      <c r="AE17" s="5">
        <v>1.0396182537078859E-2</v>
      </c>
      <c r="AF17" s="5">
        <v>-4.0298069732776576E-3</v>
      </c>
      <c r="AG17" s="5">
        <v>0.17091699232134899</v>
      </c>
      <c r="AH17" s="5">
        <v>-1.0396182537078859E-2</v>
      </c>
    </row>
    <row r="18" spans="2:34" x14ac:dyDescent="0.2">
      <c r="B18" s="4">
        <v>2025</v>
      </c>
      <c r="C18" s="4">
        <v>17</v>
      </c>
      <c r="D18" s="4" t="s">
        <v>28</v>
      </c>
      <c r="E18" s="4" t="s">
        <v>43</v>
      </c>
      <c r="F18" s="4">
        <v>20</v>
      </c>
      <c r="G18" s="4">
        <v>17</v>
      </c>
      <c r="H18" s="8">
        <v>0.54252769259493627</v>
      </c>
      <c r="I18" s="4">
        <v>-118</v>
      </c>
      <c r="J18" s="8">
        <v>0.45747230740506373</v>
      </c>
      <c r="K18" s="4">
        <v>118</v>
      </c>
      <c r="L18" s="4" t="s">
        <v>28</v>
      </c>
      <c r="M18" s="4" t="s">
        <v>28</v>
      </c>
      <c r="N18" s="4">
        <v>1</v>
      </c>
      <c r="O18" s="15">
        <v>25.357523161176289</v>
      </c>
      <c r="P18" s="15">
        <v>24.216388890297029</v>
      </c>
      <c r="Q18" s="4">
        <v>-5.5</v>
      </c>
      <c r="R18" s="9">
        <v>1.141134270879256</v>
      </c>
      <c r="S18" s="4" t="s">
        <v>139</v>
      </c>
      <c r="T18" s="4">
        <v>3</v>
      </c>
      <c r="U18" s="4" t="s">
        <v>139</v>
      </c>
      <c r="V18" s="4">
        <v>1</v>
      </c>
      <c r="W18" s="4">
        <v>45.5</v>
      </c>
      <c r="X18" s="9">
        <v>49.573912051473307</v>
      </c>
      <c r="Y18" s="4" t="s">
        <v>140</v>
      </c>
      <c r="Z18" s="4">
        <v>37</v>
      </c>
      <c r="AA18" s="4" t="s">
        <v>141</v>
      </c>
      <c r="AB18" s="4">
        <v>0</v>
      </c>
      <c r="AC18" s="5">
        <v>6.0104476081000432E-2</v>
      </c>
      <c r="AD18" s="5">
        <v>-3.7184526671224558E-2</v>
      </c>
      <c r="AE18" s="5">
        <v>0.20254220247268681</v>
      </c>
      <c r="AF18" s="5">
        <v>3.7184526671224558E-2</v>
      </c>
      <c r="AG18" s="5">
        <v>-6.0104476081000432E-2</v>
      </c>
      <c r="AH18" s="5">
        <v>-0.20254220247268681</v>
      </c>
    </row>
    <row r="19" spans="2:34" x14ac:dyDescent="0.2">
      <c r="B19" s="4">
        <v>2025</v>
      </c>
      <c r="C19" s="4">
        <v>17</v>
      </c>
      <c r="D19" s="4" t="s">
        <v>13</v>
      </c>
      <c r="E19" s="4" t="s">
        <v>32</v>
      </c>
      <c r="F19" s="4">
        <v>10</v>
      </c>
      <c r="G19" s="4">
        <v>42</v>
      </c>
      <c r="H19" s="8">
        <v>0.233976447694279</v>
      </c>
      <c r="I19" s="4">
        <v>327</v>
      </c>
      <c r="J19" s="8">
        <v>0.76602355230572095</v>
      </c>
      <c r="K19" s="4">
        <v>-327</v>
      </c>
      <c r="L19" s="4" t="s">
        <v>32</v>
      </c>
      <c r="M19" s="4" t="s">
        <v>32</v>
      </c>
      <c r="N19" s="4">
        <v>1</v>
      </c>
      <c r="O19" s="15">
        <v>18.15545795202846</v>
      </c>
      <c r="P19" s="15">
        <v>27.46140112404218</v>
      </c>
      <c r="Q19" s="4">
        <v>-13.5</v>
      </c>
      <c r="R19" s="15">
        <v>-9.3059431720137198</v>
      </c>
      <c r="S19" s="4" t="s">
        <v>139</v>
      </c>
      <c r="T19" s="4">
        <v>-32</v>
      </c>
      <c r="U19" s="4" t="s">
        <v>138</v>
      </c>
      <c r="V19" s="4">
        <v>0</v>
      </c>
      <c r="W19" s="4">
        <v>42.5</v>
      </c>
      <c r="X19" s="9">
        <v>45.616859076070639</v>
      </c>
      <c r="Y19" s="4" t="s">
        <v>140</v>
      </c>
      <c r="Z19" s="4">
        <v>52</v>
      </c>
      <c r="AA19" s="4" t="s">
        <v>140</v>
      </c>
      <c r="AB19" s="4">
        <v>1</v>
      </c>
      <c r="AC19" s="5">
        <v>-0.17908743023872381</v>
      </c>
      <c r="AD19" s="5">
        <v>-0.50469183921813965</v>
      </c>
      <c r="AE19" s="5">
        <v>0.27865218079608423</v>
      </c>
      <c r="AF19" s="5">
        <v>0.50469183921813965</v>
      </c>
      <c r="AG19" s="5">
        <v>0.17908743023872381</v>
      </c>
      <c r="AH19" s="5">
        <v>-0.27865218079608423</v>
      </c>
    </row>
    <row r="20" spans="2:34" x14ac:dyDescent="0.2">
      <c r="B20" s="4">
        <v>2025</v>
      </c>
      <c r="C20" s="4">
        <v>17</v>
      </c>
      <c r="D20" s="4" t="s">
        <v>38</v>
      </c>
      <c r="E20" s="4" t="s">
        <v>31</v>
      </c>
      <c r="F20" s="4">
        <v>26</v>
      </c>
      <c r="G20" s="4">
        <v>34</v>
      </c>
      <c r="H20" s="8">
        <v>0.44607944474533329</v>
      </c>
      <c r="I20" s="4">
        <v>124</v>
      </c>
      <c r="J20" s="8">
        <v>0.55392055525466666</v>
      </c>
      <c r="K20" s="4">
        <v>-124</v>
      </c>
      <c r="L20" s="4" t="s">
        <v>31</v>
      </c>
      <c r="M20" s="4" t="s">
        <v>31</v>
      </c>
      <c r="N20" s="4">
        <v>1</v>
      </c>
      <c r="O20" s="15">
        <v>22.906844836940341</v>
      </c>
      <c r="P20" s="15">
        <v>21.82991600578422</v>
      </c>
      <c r="Q20" s="4">
        <v>-2.5</v>
      </c>
      <c r="R20" s="9">
        <v>1.07692883115612</v>
      </c>
      <c r="S20" s="4" t="s">
        <v>139</v>
      </c>
      <c r="T20" s="4">
        <v>-8</v>
      </c>
      <c r="U20" s="4" t="s">
        <v>138</v>
      </c>
      <c r="V20" s="4">
        <v>0</v>
      </c>
      <c r="W20" s="4">
        <v>39.5</v>
      </c>
      <c r="X20" s="9">
        <v>44.736760842724557</v>
      </c>
      <c r="Y20" s="4" t="s">
        <v>140</v>
      </c>
      <c r="Z20" s="4">
        <v>60</v>
      </c>
      <c r="AA20" s="4" t="s">
        <v>140</v>
      </c>
      <c r="AB20" s="4">
        <v>1</v>
      </c>
      <c r="AC20" s="5">
        <v>-0.13270121651726799</v>
      </c>
      <c r="AD20" s="5">
        <v>-0.1991390912037975</v>
      </c>
      <c r="AE20" s="5">
        <v>0.2469404177232222</v>
      </c>
      <c r="AF20" s="5">
        <v>0.1991390912037975</v>
      </c>
      <c r="AG20" s="5">
        <v>0.13270121651726799</v>
      </c>
      <c r="AH20" s="5">
        <v>-0.2469404177232222</v>
      </c>
    </row>
    <row r="21" spans="2:34" x14ac:dyDescent="0.2">
      <c r="B21" s="4">
        <v>2025</v>
      </c>
      <c r="C21" s="4">
        <v>17</v>
      </c>
      <c r="D21" s="4" t="s">
        <v>37</v>
      </c>
      <c r="E21" s="4" t="s">
        <v>10</v>
      </c>
      <c r="F21" s="4">
        <v>10</v>
      </c>
      <c r="G21" s="4">
        <v>34</v>
      </c>
      <c r="H21" s="8">
        <v>0.33366036237169933</v>
      </c>
      <c r="I21" s="4">
        <v>199</v>
      </c>
      <c r="J21" s="8">
        <v>0.66633963762830062</v>
      </c>
      <c r="K21" s="4">
        <v>-199</v>
      </c>
      <c r="L21" s="4" t="s">
        <v>10</v>
      </c>
      <c r="M21" s="4" t="s">
        <v>10</v>
      </c>
      <c r="N21" s="4">
        <v>1</v>
      </c>
      <c r="O21" s="15">
        <v>18.502818792130569</v>
      </c>
      <c r="P21" s="15">
        <v>22.57260962654793</v>
      </c>
      <c r="Q21" s="4">
        <v>-1.5</v>
      </c>
      <c r="R21" s="9">
        <v>-4.0697908344173648</v>
      </c>
      <c r="S21" s="4" t="s">
        <v>138</v>
      </c>
      <c r="T21" s="4">
        <v>-24</v>
      </c>
      <c r="U21" s="4" t="s">
        <v>138</v>
      </c>
      <c r="V21" s="4">
        <v>1</v>
      </c>
      <c r="W21" s="4">
        <v>41.5</v>
      </c>
      <c r="X21" s="9">
        <v>41.075428418678499</v>
      </c>
      <c r="Y21" s="4" t="s">
        <v>141</v>
      </c>
      <c r="Z21" s="4">
        <v>44</v>
      </c>
      <c r="AA21" s="4" t="s">
        <v>140</v>
      </c>
      <c r="AB21" s="4">
        <v>0</v>
      </c>
      <c r="AC21" s="5">
        <v>-0.22700842495622309</v>
      </c>
      <c r="AD21" s="5">
        <v>-0.2351310761248479</v>
      </c>
      <c r="AE21" s="5">
        <v>-9.7053625366904525E-2</v>
      </c>
      <c r="AF21" s="5">
        <v>0.2351310761248479</v>
      </c>
      <c r="AG21" s="5">
        <v>0.22700842495622309</v>
      </c>
      <c r="AH21" s="5">
        <v>9.7053625366904525E-2</v>
      </c>
    </row>
    <row r="22" spans="2:34" x14ac:dyDescent="0.2">
      <c r="B22" s="4">
        <v>2025</v>
      </c>
      <c r="C22" s="4">
        <v>17</v>
      </c>
      <c r="D22" s="4" t="s">
        <v>50</v>
      </c>
      <c r="E22" s="4" t="s">
        <v>11</v>
      </c>
      <c r="F22" s="4">
        <v>12</v>
      </c>
      <c r="G22" s="4">
        <v>13</v>
      </c>
      <c r="H22" s="8">
        <v>0.57234845190812011</v>
      </c>
      <c r="I22" s="4">
        <v>-133</v>
      </c>
      <c r="J22" s="8">
        <v>0.42765154809187989</v>
      </c>
      <c r="K22" s="4">
        <v>133</v>
      </c>
      <c r="L22" s="4" t="s">
        <v>50</v>
      </c>
      <c r="M22" s="4" t="s">
        <v>11</v>
      </c>
      <c r="N22" s="4">
        <v>0</v>
      </c>
      <c r="O22" s="9">
        <v>26.037626997972321</v>
      </c>
      <c r="P22" s="15">
        <v>22.915419244049261</v>
      </c>
      <c r="Q22" s="4">
        <v>1.5</v>
      </c>
      <c r="R22" s="9">
        <v>3.1222077539230599</v>
      </c>
      <c r="S22" s="4" t="s">
        <v>139</v>
      </c>
      <c r="T22" s="4">
        <v>-1</v>
      </c>
      <c r="U22" s="4" t="s">
        <v>138</v>
      </c>
      <c r="V22" s="4">
        <v>0</v>
      </c>
      <c r="W22" s="4">
        <v>43.5</v>
      </c>
      <c r="X22" s="9">
        <v>48.953046242021593</v>
      </c>
      <c r="Y22" s="4" t="s">
        <v>140</v>
      </c>
      <c r="Z22" s="4">
        <v>25</v>
      </c>
      <c r="AA22" s="4" t="s">
        <v>141</v>
      </c>
      <c r="AB22" s="4">
        <v>0</v>
      </c>
      <c r="AC22" s="5">
        <v>-5.0502319593687318E-2</v>
      </c>
      <c r="AD22" s="5">
        <v>0.1195927835860342</v>
      </c>
      <c r="AE22" s="5">
        <v>-0.25014792442321782</v>
      </c>
      <c r="AF22" s="5">
        <v>-0.1195927835860342</v>
      </c>
      <c r="AG22" s="5">
        <v>5.0502319593687318E-2</v>
      </c>
      <c r="AH22" s="5">
        <v>0.25014792442321782</v>
      </c>
    </row>
    <row r="23" spans="2:34" x14ac:dyDescent="0.2">
      <c r="B23" s="4">
        <v>2025</v>
      </c>
      <c r="C23" s="4">
        <v>17</v>
      </c>
      <c r="D23" s="4" t="s">
        <v>44</v>
      </c>
      <c r="E23" s="4" t="s">
        <v>53</v>
      </c>
      <c r="F23" s="4">
        <v>42</v>
      </c>
      <c r="G23" s="4">
        <v>38</v>
      </c>
      <c r="H23" s="8">
        <v>0.63055471279437458</v>
      </c>
      <c r="I23" s="4">
        <v>-170</v>
      </c>
      <c r="J23" s="8">
        <v>0.36944528720562542</v>
      </c>
      <c r="K23" s="4">
        <v>170</v>
      </c>
      <c r="L23" s="4" t="s">
        <v>44</v>
      </c>
      <c r="M23" s="4" t="s">
        <v>44</v>
      </c>
      <c r="N23" s="4">
        <v>1</v>
      </c>
      <c r="O23" s="9">
        <v>28.48497409018092</v>
      </c>
      <c r="P23" s="15">
        <v>24.427110672654521</v>
      </c>
      <c r="Q23" s="4">
        <v>3</v>
      </c>
      <c r="R23" s="9">
        <v>4.057863417526395</v>
      </c>
      <c r="S23" s="4" t="s">
        <v>139</v>
      </c>
      <c r="T23" s="4">
        <v>4</v>
      </c>
      <c r="U23" s="4" t="s">
        <v>139</v>
      </c>
      <c r="V23" s="4">
        <v>1</v>
      </c>
      <c r="W23" s="4">
        <v>52.5</v>
      </c>
      <c r="X23" s="9">
        <v>52.912084762835427</v>
      </c>
      <c r="Y23" s="4" t="s">
        <v>140</v>
      </c>
      <c r="Z23" s="4">
        <v>80</v>
      </c>
      <c r="AA23" s="4" t="s">
        <v>140</v>
      </c>
      <c r="AB23" s="4">
        <v>1</v>
      </c>
      <c r="AC23" s="5">
        <v>0.29294983545939129</v>
      </c>
      <c r="AD23" s="5">
        <v>-0.32815566429725063</v>
      </c>
      <c r="AE23" s="5">
        <v>1.3250324033921771E-2</v>
      </c>
      <c r="AF23" s="5">
        <v>0.32815566429725063</v>
      </c>
      <c r="AG23" s="5">
        <v>-0.29294983545939129</v>
      </c>
      <c r="AH23" s="5">
        <v>-1.3250324033921771E-2</v>
      </c>
    </row>
    <row r="24" spans="2:34" x14ac:dyDescent="0.2">
      <c r="B24" s="4">
        <v>2025</v>
      </c>
      <c r="C24" s="4">
        <v>17</v>
      </c>
      <c r="D24" s="4" t="s">
        <v>49</v>
      </c>
      <c r="E24" s="4" t="s">
        <v>17</v>
      </c>
      <c r="F24" s="4">
        <v>27</v>
      </c>
      <c r="G24" s="4">
        <v>24</v>
      </c>
      <c r="H24" s="8">
        <v>0.29752007082527432</v>
      </c>
      <c r="I24" s="4">
        <v>236</v>
      </c>
      <c r="J24" s="8">
        <v>0.70247992917472568</v>
      </c>
      <c r="K24" s="4">
        <v>-236</v>
      </c>
      <c r="L24" s="4" t="s">
        <v>17</v>
      </c>
      <c r="M24" s="4" t="s">
        <v>49</v>
      </c>
      <c r="N24" s="4">
        <v>0</v>
      </c>
      <c r="O24" s="9">
        <v>21.72428470641804</v>
      </c>
      <c r="P24" s="15">
        <v>30.27893969611544</v>
      </c>
      <c r="Q24" s="4">
        <v>-7.5</v>
      </c>
      <c r="R24" s="9">
        <v>-8.5546549896974042</v>
      </c>
      <c r="S24" s="4" t="s">
        <v>138</v>
      </c>
      <c r="T24" s="4">
        <v>3</v>
      </c>
      <c r="U24" s="4" t="s">
        <v>139</v>
      </c>
      <c r="V24" s="4">
        <v>0</v>
      </c>
      <c r="W24" s="4">
        <v>49.5</v>
      </c>
      <c r="X24" s="9">
        <v>52.003224402533483</v>
      </c>
      <c r="Y24" s="4" t="s">
        <v>140</v>
      </c>
      <c r="Z24" s="4">
        <v>51</v>
      </c>
      <c r="AA24" s="4" t="s">
        <v>140</v>
      </c>
      <c r="AB24" s="4">
        <v>1</v>
      </c>
      <c r="AC24" s="5">
        <v>0.11564381617420121</v>
      </c>
      <c r="AD24" s="5">
        <v>0.1016359402583196</v>
      </c>
      <c r="AE24" s="5">
        <v>-0.3074916090284075</v>
      </c>
      <c r="AF24" s="5">
        <v>-0.1016359402583196</v>
      </c>
      <c r="AG24" s="5">
        <v>-0.11564381617420121</v>
      </c>
      <c r="AH24" s="5">
        <v>0.3074916090284075</v>
      </c>
    </row>
  </sheetData>
  <mergeCells count="6">
    <mergeCell ref="AF7:AH7"/>
    <mergeCell ref="H7:N7"/>
    <mergeCell ref="O7:P7"/>
    <mergeCell ref="Q7:V7"/>
    <mergeCell ref="W7:AB7"/>
    <mergeCell ref="AC7:AE7"/>
  </mergeCells>
  <conditionalFormatting sqref="AC9:AC2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9:AD2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9:AE2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9:AF2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9:AG2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9:AH2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BF968A68-888E-9148-93AA-5D9FC83E7C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N9:N24</xm:sqref>
        </x14:conditionalFormatting>
        <x14:conditionalFormatting xmlns:xm="http://schemas.microsoft.com/office/excel/2006/main">
          <x14:cfRule type="iconSet" priority="2" id="{7C23B9B2-2E4F-ED48-B70E-216F409C9F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V9:V24</xm:sqref>
        </x14:conditionalFormatting>
        <x14:conditionalFormatting xmlns:xm="http://schemas.microsoft.com/office/excel/2006/main">
          <x14:cfRule type="iconSet" priority="3" id="{51E03EFA-40DF-D941-9E27-586DE1B941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AB9:AB24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D98C-4C23-1D41-8F54-3AE5DDA59A0D}">
  <dimension ref="B2:AH24"/>
  <sheetViews>
    <sheetView showGridLines="0" tabSelected="1" workbookViewId="0">
      <selection activeCell="F32" sqref="F32"/>
    </sheetView>
  </sheetViews>
  <sheetFormatPr baseColWidth="10" defaultRowHeight="15" x14ac:dyDescent="0.2"/>
  <cols>
    <col min="2" max="3" width="9.5" customWidth="1"/>
    <col min="4" max="4" width="10.5" bestFit="1" customWidth="1"/>
    <col min="5" max="5" width="9.83203125" bestFit="1" customWidth="1"/>
    <col min="6" max="6" width="10.6640625" bestFit="1" customWidth="1"/>
    <col min="7" max="7" width="9.83203125" customWidth="1"/>
    <col min="8" max="8" width="10.1640625" hidden="1" customWidth="1"/>
    <col min="9" max="9" width="13.33203125" hidden="1" customWidth="1"/>
    <col min="10" max="10" width="9.5" hidden="1" customWidth="1"/>
    <col min="11" max="11" width="12.6640625" hidden="1" customWidth="1"/>
    <col min="12" max="12" width="4.83203125" hidden="1" customWidth="1"/>
    <col min="13" max="13" width="6.6640625" hidden="1" customWidth="1"/>
    <col min="14" max="14" width="14" hidden="1" customWidth="1"/>
    <col min="15" max="16" width="11.6640625" customWidth="1"/>
    <col min="17" max="17" width="10.1640625" bestFit="1" customWidth="1"/>
    <col min="18" max="18" width="10.83203125" bestFit="1" customWidth="1"/>
    <col min="19" max="19" width="10.33203125" bestFit="1" customWidth="1"/>
    <col min="20" max="20" width="5.6640625" bestFit="1" customWidth="1"/>
    <col min="21" max="21" width="11.6640625" bestFit="1" customWidth="1"/>
    <col min="22" max="22" width="13.6640625" bestFit="1" customWidth="1"/>
    <col min="23" max="23" width="8.6640625" bestFit="1" customWidth="1"/>
    <col min="24" max="24" width="9.33203125" bestFit="1" customWidth="1"/>
    <col min="25" max="25" width="8.83203125" bestFit="1" customWidth="1"/>
    <col min="26" max="26" width="4.83203125" bestFit="1" customWidth="1"/>
    <col min="27" max="27" width="10.1640625" bestFit="1" customWidth="1"/>
    <col min="28" max="28" width="12.1640625" bestFit="1" customWidth="1"/>
    <col min="29" max="30" width="10.1640625" bestFit="1" customWidth="1"/>
    <col min="31" max="31" width="10.6640625" bestFit="1" customWidth="1"/>
    <col min="32" max="33" width="10.1640625" bestFit="1" customWidth="1"/>
    <col min="34" max="34" width="10.6640625" bestFit="1" customWidth="1"/>
  </cols>
  <sheetData>
    <row r="2" spans="2:34" x14ac:dyDescent="0.2">
      <c r="B2" s="7" t="s">
        <v>63</v>
      </c>
      <c r="C2" s="13">
        <f>COUNTA($C$9:$C$24)</f>
        <v>16</v>
      </c>
    </row>
    <row r="3" spans="2:34" x14ac:dyDescent="0.2">
      <c r="B3" s="7" t="s">
        <v>145</v>
      </c>
      <c r="C3" s="13">
        <f>SUM(N9:$N$24)</f>
        <v>7</v>
      </c>
      <c r="D3" s="14">
        <f>C3/$C$2</f>
        <v>0.4375</v>
      </c>
    </row>
    <row r="4" spans="2:34" x14ac:dyDescent="0.2">
      <c r="B4" s="7" t="s">
        <v>146</v>
      </c>
      <c r="C4" s="13">
        <f>SUM(V9:$V$24)</f>
        <v>9</v>
      </c>
      <c r="D4" s="14">
        <f t="shared" ref="D4:D5" si="0">C4/$C$2</f>
        <v>0.5625</v>
      </c>
    </row>
    <row r="5" spans="2:34" x14ac:dyDescent="0.2">
      <c r="B5" s="7" t="s">
        <v>150</v>
      </c>
      <c r="C5" s="13">
        <f>SUM(AB9:$AB$24)</f>
        <v>9</v>
      </c>
      <c r="D5" s="14">
        <f t="shared" si="0"/>
        <v>0.5625</v>
      </c>
    </row>
    <row r="6" spans="2:34" x14ac:dyDescent="0.2">
      <c r="C6" s="6"/>
    </row>
    <row r="7" spans="2:34" x14ac:dyDescent="0.2">
      <c r="H7" s="20" t="s">
        <v>142</v>
      </c>
      <c r="I7" s="20"/>
      <c r="J7" s="20"/>
      <c r="K7" s="20"/>
      <c r="L7" s="20"/>
      <c r="M7" s="20"/>
      <c r="N7" s="20"/>
      <c r="O7" s="20" t="s">
        <v>149</v>
      </c>
      <c r="P7" s="20"/>
      <c r="Q7" s="20" t="s">
        <v>143</v>
      </c>
      <c r="R7" s="20"/>
      <c r="S7" s="20"/>
      <c r="T7" s="20"/>
      <c r="U7" s="20"/>
      <c r="V7" s="20"/>
      <c r="W7" s="20" t="s">
        <v>144</v>
      </c>
      <c r="X7" s="20"/>
      <c r="Y7" s="20"/>
      <c r="Z7" s="20"/>
      <c r="AA7" s="20"/>
      <c r="AB7" s="20"/>
      <c r="AC7" s="20" t="s">
        <v>55</v>
      </c>
      <c r="AD7" s="20"/>
      <c r="AE7" s="20"/>
      <c r="AF7" s="20" t="s">
        <v>56</v>
      </c>
      <c r="AG7" s="20"/>
      <c r="AH7" s="20"/>
    </row>
    <row r="8" spans="2:34" x14ac:dyDescent="0.2">
      <c r="B8" s="1" t="s">
        <v>0</v>
      </c>
      <c r="C8" s="1" t="s">
        <v>1</v>
      </c>
      <c r="D8" s="1" t="s">
        <v>2</v>
      </c>
      <c r="E8" s="1" t="s">
        <v>3</v>
      </c>
      <c r="F8" s="1" t="s">
        <v>151</v>
      </c>
      <c r="G8" s="1" t="s">
        <v>152</v>
      </c>
      <c r="H8" s="1" t="s">
        <v>4</v>
      </c>
      <c r="I8" s="1" t="s">
        <v>7</v>
      </c>
      <c r="J8" s="1" t="s">
        <v>5</v>
      </c>
      <c r="K8" s="1" t="s">
        <v>8</v>
      </c>
      <c r="L8" s="1" t="s">
        <v>6</v>
      </c>
      <c r="M8" s="1" t="s">
        <v>9</v>
      </c>
      <c r="N8" s="1" t="s">
        <v>129</v>
      </c>
      <c r="O8" s="1" t="s">
        <v>139</v>
      </c>
      <c r="P8" s="1" t="s">
        <v>138</v>
      </c>
      <c r="Q8" s="1" t="s">
        <v>126</v>
      </c>
      <c r="R8" s="1" t="s">
        <v>127</v>
      </c>
      <c r="S8" s="1" t="s">
        <v>130</v>
      </c>
      <c r="T8" s="1" t="s">
        <v>131</v>
      </c>
      <c r="U8" s="1" t="s">
        <v>132</v>
      </c>
      <c r="V8" s="1" t="s">
        <v>133</v>
      </c>
      <c r="W8" s="1" t="s">
        <v>128</v>
      </c>
      <c r="X8" s="1" t="s">
        <v>148</v>
      </c>
      <c r="Y8" s="1" t="s">
        <v>134</v>
      </c>
      <c r="Z8" s="1" t="s">
        <v>135</v>
      </c>
      <c r="AA8" s="1" t="s">
        <v>136</v>
      </c>
      <c r="AB8" s="1" t="s">
        <v>137</v>
      </c>
      <c r="AC8" s="1" t="s">
        <v>57</v>
      </c>
      <c r="AD8" s="1" t="s">
        <v>58</v>
      </c>
      <c r="AE8" s="1" t="s">
        <v>59</v>
      </c>
      <c r="AF8" s="1" t="s">
        <v>57</v>
      </c>
      <c r="AG8" s="1" t="s">
        <v>58</v>
      </c>
      <c r="AH8" s="1" t="s">
        <v>59</v>
      </c>
    </row>
    <row r="9" spans="2:34" x14ac:dyDescent="0.2">
      <c r="B9" s="4">
        <v>2025</v>
      </c>
      <c r="C9" s="4">
        <v>18</v>
      </c>
      <c r="D9" s="4" t="s">
        <v>43</v>
      </c>
      <c r="E9" s="4" t="s">
        <v>19</v>
      </c>
      <c r="F9" s="4">
        <v>16</v>
      </c>
      <c r="G9" s="4">
        <v>14</v>
      </c>
      <c r="H9" s="8">
        <v>0.55034776813727193</v>
      </c>
      <c r="I9" s="4">
        <v>-122</v>
      </c>
      <c r="J9" s="8">
        <v>0.44965223186272812</v>
      </c>
      <c r="K9" s="4">
        <v>122</v>
      </c>
      <c r="L9" s="4" t="s">
        <v>43</v>
      </c>
      <c r="M9" s="4" t="s">
        <v>43</v>
      </c>
      <c r="N9" s="4">
        <v>1</v>
      </c>
      <c r="O9" s="15">
        <v>24.274662090852111</v>
      </c>
      <c r="P9" s="15">
        <v>22.010583615012141</v>
      </c>
      <c r="Q9" s="4">
        <v>2.5</v>
      </c>
      <c r="R9" s="15">
        <v>2.2640784758399728</v>
      </c>
      <c r="S9" s="4" t="s">
        <v>138</v>
      </c>
      <c r="T9" s="4">
        <v>2</v>
      </c>
      <c r="U9" s="4" t="s">
        <v>138</v>
      </c>
      <c r="V9" s="4">
        <v>1</v>
      </c>
      <c r="W9" s="4">
        <v>43.5</v>
      </c>
      <c r="X9" s="9">
        <v>46.285245705864249</v>
      </c>
      <c r="Y9" s="4" t="s">
        <v>140</v>
      </c>
      <c r="Z9" s="4">
        <v>30</v>
      </c>
      <c r="AA9" s="4" t="s">
        <v>141</v>
      </c>
      <c r="AB9" s="4">
        <v>0</v>
      </c>
      <c r="AC9" s="5">
        <v>1.830032156474555E-2</v>
      </c>
      <c r="AD9" s="5">
        <v>3.5524382883188682E-2</v>
      </c>
      <c r="AE9" s="5">
        <v>-3.5771714015440513E-2</v>
      </c>
      <c r="AF9" s="5">
        <v>-3.5524382883188682E-2</v>
      </c>
      <c r="AG9" s="5">
        <v>-1.830032156474555E-2</v>
      </c>
      <c r="AH9" s="5">
        <v>3.5771714015440513E-2</v>
      </c>
    </row>
    <row r="10" spans="2:34" x14ac:dyDescent="0.2">
      <c r="B10" s="4">
        <v>2025</v>
      </c>
      <c r="C10" s="4">
        <v>18</v>
      </c>
      <c r="D10" s="4" t="s">
        <v>44</v>
      </c>
      <c r="E10" s="4" t="s">
        <v>26</v>
      </c>
      <c r="F10" s="4">
        <v>3</v>
      </c>
      <c r="G10" s="4">
        <v>13</v>
      </c>
      <c r="H10" s="8">
        <v>0.57962029072357746</v>
      </c>
      <c r="I10" s="4">
        <v>-137</v>
      </c>
      <c r="J10" s="8">
        <v>0.42037970927642249</v>
      </c>
      <c r="K10" s="4">
        <v>137</v>
      </c>
      <c r="L10" s="4" t="s">
        <v>44</v>
      </c>
      <c r="M10" s="4" t="s">
        <v>26</v>
      </c>
      <c r="N10" s="4">
        <v>0</v>
      </c>
      <c r="O10" s="15">
        <v>24.00409348427182</v>
      </c>
      <c r="P10" s="15">
        <v>24.84763773704849</v>
      </c>
      <c r="Q10" s="4">
        <v>-1.5</v>
      </c>
      <c r="R10" s="15">
        <v>-0.84354425277667033</v>
      </c>
      <c r="S10" s="4" t="s">
        <v>139</v>
      </c>
      <c r="T10" s="4">
        <v>-10</v>
      </c>
      <c r="U10" s="4" t="s">
        <v>138</v>
      </c>
      <c r="V10" s="4">
        <v>0</v>
      </c>
      <c r="W10" s="4">
        <v>47.5</v>
      </c>
      <c r="X10" s="9">
        <v>48.851731221320307</v>
      </c>
      <c r="Y10" s="4" t="s">
        <v>140</v>
      </c>
      <c r="Z10" s="4">
        <v>16</v>
      </c>
      <c r="AA10" s="4" t="s">
        <v>141</v>
      </c>
      <c r="AB10" s="4">
        <v>0</v>
      </c>
      <c r="AC10" s="5">
        <v>-0.3589906919570196</v>
      </c>
      <c r="AD10" s="5">
        <v>-0.10921088131991299</v>
      </c>
      <c r="AE10" s="5">
        <v>0.30073720567366657</v>
      </c>
      <c r="AF10" s="5">
        <v>0.10921088131991299</v>
      </c>
      <c r="AG10" s="5">
        <v>0.3589906919570196</v>
      </c>
      <c r="AH10" s="5">
        <v>-0.30073720567366657</v>
      </c>
    </row>
    <row r="11" spans="2:34" x14ac:dyDescent="0.2">
      <c r="B11" s="4">
        <v>2025</v>
      </c>
      <c r="C11" s="4">
        <v>18</v>
      </c>
      <c r="D11" s="4" t="s">
        <v>49</v>
      </c>
      <c r="E11" s="4" t="s">
        <v>31</v>
      </c>
      <c r="F11" s="4">
        <v>19</v>
      </c>
      <c r="G11" s="4">
        <v>17</v>
      </c>
      <c r="H11" s="8">
        <v>0.49416493182868498</v>
      </c>
      <c r="I11" s="4">
        <v>102</v>
      </c>
      <c r="J11" s="8">
        <v>0.50583506817131496</v>
      </c>
      <c r="K11" s="4">
        <v>-102</v>
      </c>
      <c r="L11" s="4" t="s">
        <v>31</v>
      </c>
      <c r="M11" s="4" t="s">
        <v>49</v>
      </c>
      <c r="N11" s="4">
        <v>0</v>
      </c>
      <c r="O11" s="15">
        <v>22.695152668872691</v>
      </c>
      <c r="P11" s="15">
        <v>22.14771100071242</v>
      </c>
      <c r="Q11" s="4">
        <v>3</v>
      </c>
      <c r="R11" s="9">
        <v>0.54744166816027473</v>
      </c>
      <c r="S11" s="4" t="s">
        <v>138</v>
      </c>
      <c r="T11" s="4">
        <v>2</v>
      </c>
      <c r="U11" s="4" t="s">
        <v>138</v>
      </c>
      <c r="V11" s="4">
        <v>1</v>
      </c>
      <c r="W11" s="4">
        <v>45.5</v>
      </c>
      <c r="X11" s="9">
        <v>44.842863669585107</v>
      </c>
      <c r="Y11" s="4" t="s">
        <v>141</v>
      </c>
      <c r="Z11" s="4">
        <v>36</v>
      </c>
      <c r="AA11" s="4" t="s">
        <v>141</v>
      </c>
      <c r="AB11" s="4">
        <v>1</v>
      </c>
      <c r="AC11" s="5">
        <v>-0.24327203432718911</v>
      </c>
      <c r="AD11" s="5">
        <v>0.1058234256856582</v>
      </c>
      <c r="AE11" s="5">
        <v>0.43750580719539089</v>
      </c>
      <c r="AF11" s="5">
        <v>-0.1058234256856582</v>
      </c>
      <c r="AG11" s="5">
        <v>0.24327203432718911</v>
      </c>
      <c r="AH11" s="5">
        <v>-0.43750580719539089</v>
      </c>
    </row>
    <row r="12" spans="2:34" x14ac:dyDescent="0.2">
      <c r="B12" s="4">
        <v>2025</v>
      </c>
      <c r="C12" s="4">
        <v>18</v>
      </c>
      <c r="D12" s="4" t="s">
        <v>41</v>
      </c>
      <c r="E12" s="4" t="s">
        <v>35</v>
      </c>
      <c r="F12" s="4">
        <v>18</v>
      </c>
      <c r="G12" s="4">
        <v>20</v>
      </c>
      <c r="H12" s="8">
        <v>0.66728647654381279</v>
      </c>
      <c r="I12" s="4">
        <v>-200</v>
      </c>
      <c r="J12" s="8">
        <v>0.33271352345618721</v>
      </c>
      <c r="K12" s="4">
        <v>200</v>
      </c>
      <c r="L12" s="4" t="s">
        <v>41</v>
      </c>
      <c r="M12" s="4" t="s">
        <v>35</v>
      </c>
      <c r="N12" s="4">
        <v>0</v>
      </c>
      <c r="O12" s="15">
        <v>27.358433832848188</v>
      </c>
      <c r="P12" s="15">
        <v>21.240233418915061</v>
      </c>
      <c r="Q12" s="4">
        <v>7.5</v>
      </c>
      <c r="R12" s="9">
        <v>6.1182004139331347</v>
      </c>
      <c r="S12" s="4" t="s">
        <v>138</v>
      </c>
      <c r="T12" s="4">
        <v>-2</v>
      </c>
      <c r="U12" s="4" t="s">
        <v>138</v>
      </c>
      <c r="V12" s="4">
        <v>1</v>
      </c>
      <c r="W12" s="4">
        <v>44.5</v>
      </c>
      <c r="X12" s="9">
        <v>48.598667251763253</v>
      </c>
      <c r="Y12" s="4" t="s">
        <v>140</v>
      </c>
      <c r="Z12" s="4">
        <v>38</v>
      </c>
      <c r="AA12" s="4" t="s">
        <v>141</v>
      </c>
      <c r="AB12" s="4">
        <v>0</v>
      </c>
      <c r="AC12" s="5">
        <v>-8.8743957120980793E-2</v>
      </c>
      <c r="AD12" s="5">
        <v>0.12539845246535081</v>
      </c>
      <c r="AE12" s="5">
        <v>-6.7371854782104487E-2</v>
      </c>
      <c r="AF12" s="5">
        <v>-0.12539845246535081</v>
      </c>
      <c r="AG12" s="5">
        <v>8.8743957120980793E-2</v>
      </c>
      <c r="AH12" s="5">
        <v>6.7371854782104487E-2</v>
      </c>
    </row>
    <row r="13" spans="2:34" x14ac:dyDescent="0.2">
      <c r="B13" s="4">
        <v>2025</v>
      </c>
      <c r="C13" s="4">
        <v>18</v>
      </c>
      <c r="D13" s="4" t="s">
        <v>85</v>
      </c>
      <c r="E13" s="4" t="s">
        <v>22</v>
      </c>
      <c r="F13" s="4">
        <v>38</v>
      </c>
      <c r="G13" s="4">
        <v>30</v>
      </c>
      <c r="H13" s="8">
        <v>0.66446874419824187</v>
      </c>
      <c r="I13" s="4">
        <v>-198</v>
      </c>
      <c r="J13" s="8">
        <v>0.33553125580175808</v>
      </c>
      <c r="K13" s="4">
        <v>198</v>
      </c>
      <c r="L13" s="4" t="s">
        <v>85</v>
      </c>
      <c r="M13" s="4" t="s">
        <v>85</v>
      </c>
      <c r="N13" s="4">
        <v>1</v>
      </c>
      <c r="O13" s="15">
        <v>25.675340032837699</v>
      </c>
      <c r="P13" s="15">
        <v>17.458343133705689</v>
      </c>
      <c r="Q13" s="4">
        <v>10.5</v>
      </c>
      <c r="R13" s="9">
        <v>8.2169968991320133</v>
      </c>
      <c r="S13" s="4" t="s">
        <v>138</v>
      </c>
      <c r="T13" s="4">
        <v>8</v>
      </c>
      <c r="U13" s="4" t="s">
        <v>138</v>
      </c>
      <c r="V13" s="4">
        <v>1</v>
      </c>
      <c r="W13" s="4">
        <v>38.5</v>
      </c>
      <c r="X13" s="9">
        <v>43.133683166543378</v>
      </c>
      <c r="Y13" s="4" t="s">
        <v>140</v>
      </c>
      <c r="Z13" s="4">
        <v>68</v>
      </c>
      <c r="AA13" s="4" t="s">
        <v>140</v>
      </c>
      <c r="AB13" s="4">
        <v>1</v>
      </c>
      <c r="AC13" s="5">
        <v>5.6797724161575091E-3</v>
      </c>
      <c r="AD13" s="5">
        <v>3.2016913096110017E-2</v>
      </c>
      <c r="AE13" s="5">
        <v>0.1492186504251817</v>
      </c>
      <c r="AF13" s="5">
        <v>-3.2016913096110017E-2</v>
      </c>
      <c r="AG13" s="5">
        <v>-5.6797724161575091E-3</v>
      </c>
      <c r="AH13" s="5">
        <v>-0.1492186504251817</v>
      </c>
    </row>
    <row r="14" spans="2:34" x14ac:dyDescent="0.2">
      <c r="B14" s="4">
        <v>2025</v>
      </c>
      <c r="C14" s="4">
        <v>18</v>
      </c>
      <c r="D14" s="4" t="s">
        <v>25</v>
      </c>
      <c r="E14" s="4" t="s">
        <v>38</v>
      </c>
      <c r="F14" s="4">
        <v>41</v>
      </c>
      <c r="G14" s="4">
        <v>7</v>
      </c>
      <c r="H14" s="8">
        <v>0.79936369626048986</v>
      </c>
      <c r="I14" s="4">
        <v>-398</v>
      </c>
      <c r="J14" s="8">
        <v>0.20063630373951011</v>
      </c>
      <c r="K14" s="4">
        <v>398</v>
      </c>
      <c r="L14" s="4" t="s">
        <v>25</v>
      </c>
      <c r="M14" s="4" t="s">
        <v>25</v>
      </c>
      <c r="N14" s="4">
        <v>1</v>
      </c>
      <c r="O14" s="15">
        <v>28.92424277199223</v>
      </c>
      <c r="P14" s="15">
        <v>16.86055778435728</v>
      </c>
      <c r="Q14" s="4">
        <v>12.5</v>
      </c>
      <c r="R14" s="15">
        <v>12.063684987634939</v>
      </c>
      <c r="S14" s="4" t="s">
        <v>138</v>
      </c>
      <c r="T14" s="4">
        <v>34</v>
      </c>
      <c r="U14" s="4" t="s">
        <v>139</v>
      </c>
      <c r="V14" s="4">
        <v>0</v>
      </c>
      <c r="W14" s="4">
        <v>47.5</v>
      </c>
      <c r="X14" s="9">
        <v>45.784800556349509</v>
      </c>
      <c r="Y14" s="4" t="s">
        <v>141</v>
      </c>
      <c r="Z14" s="4">
        <v>48</v>
      </c>
      <c r="AA14" s="4" t="s">
        <v>140</v>
      </c>
      <c r="AB14" s="4">
        <v>0</v>
      </c>
      <c r="AC14" s="5">
        <v>0.25045689221086181</v>
      </c>
      <c r="AD14" s="5">
        <v>0.36189835159866901</v>
      </c>
      <c r="AE14" s="5">
        <v>0.15228544748746431</v>
      </c>
      <c r="AF14" s="5">
        <v>-0.36189835159866901</v>
      </c>
      <c r="AG14" s="5">
        <v>-0.25045689221086181</v>
      </c>
      <c r="AH14" s="5">
        <v>-0.15228544748746431</v>
      </c>
    </row>
    <row r="15" spans="2:34" x14ac:dyDescent="0.2">
      <c r="B15" s="4">
        <v>2025</v>
      </c>
      <c r="C15" s="4">
        <v>18</v>
      </c>
      <c r="D15" s="4" t="s">
        <v>77</v>
      </c>
      <c r="E15" s="4" t="s">
        <v>40</v>
      </c>
      <c r="F15" s="4">
        <v>16</v>
      </c>
      <c r="G15" s="4">
        <v>3</v>
      </c>
      <c r="H15" s="8">
        <v>0.45750746688545318</v>
      </c>
      <c r="I15" s="4">
        <v>118</v>
      </c>
      <c r="J15" s="8">
        <v>0.54249253311454682</v>
      </c>
      <c r="K15" s="4">
        <v>-118</v>
      </c>
      <c r="L15" s="4" t="s">
        <v>40</v>
      </c>
      <c r="M15" s="4" t="s">
        <v>77</v>
      </c>
      <c r="N15" s="4">
        <v>0</v>
      </c>
      <c r="O15" s="15">
        <v>21.88287117602297</v>
      </c>
      <c r="P15" s="15">
        <v>22.574200537906322</v>
      </c>
      <c r="Q15" s="4">
        <v>7.5</v>
      </c>
      <c r="R15" s="9">
        <v>-0.69132936188335492</v>
      </c>
      <c r="S15" s="4" t="s">
        <v>138</v>
      </c>
      <c r="T15" s="4">
        <v>13</v>
      </c>
      <c r="U15" s="4" t="s">
        <v>139</v>
      </c>
      <c r="V15" s="4">
        <v>0</v>
      </c>
      <c r="W15" s="4">
        <v>35.5</v>
      </c>
      <c r="X15" s="9">
        <v>44.457071713929288</v>
      </c>
      <c r="Y15" s="4" t="s">
        <v>140</v>
      </c>
      <c r="Z15" s="4">
        <v>19</v>
      </c>
      <c r="AA15" s="4" t="s">
        <v>141</v>
      </c>
      <c r="AB15" s="4">
        <v>0</v>
      </c>
      <c r="AC15" s="5">
        <v>1.475566002859998E-2</v>
      </c>
      <c r="AD15" s="5">
        <v>0.31598213195800778</v>
      </c>
      <c r="AE15" s="5">
        <v>-8.1225872039794922E-2</v>
      </c>
      <c r="AF15" s="5">
        <v>-0.31598213195800778</v>
      </c>
      <c r="AG15" s="5">
        <v>-1.475566002859998E-2</v>
      </c>
      <c r="AH15" s="5">
        <v>8.1225872039794922E-2</v>
      </c>
    </row>
    <row r="16" spans="2:34" x14ac:dyDescent="0.2">
      <c r="B16" s="4">
        <v>2025</v>
      </c>
      <c r="C16" s="4">
        <v>18</v>
      </c>
      <c r="D16" s="4" t="s">
        <v>10</v>
      </c>
      <c r="E16" s="4" t="s">
        <v>20</v>
      </c>
      <c r="F16" s="4">
        <v>34</v>
      </c>
      <c r="G16" s="4">
        <v>17</v>
      </c>
      <c r="H16" s="8">
        <v>0.46268494173873681</v>
      </c>
      <c r="I16" s="4">
        <v>116</v>
      </c>
      <c r="J16" s="8">
        <v>0.53731505826126313</v>
      </c>
      <c r="K16" s="4">
        <v>-116</v>
      </c>
      <c r="L16" s="4" t="s">
        <v>20</v>
      </c>
      <c r="M16" s="4" t="s">
        <v>10</v>
      </c>
      <c r="N16" s="4">
        <v>0</v>
      </c>
      <c r="O16" s="15">
        <v>22.235217812779322</v>
      </c>
      <c r="P16" s="15">
        <v>24.724894899377698</v>
      </c>
      <c r="Q16" s="4">
        <v>-3.5</v>
      </c>
      <c r="R16" s="15">
        <v>-2.4896770865983799</v>
      </c>
      <c r="S16" s="4" t="s">
        <v>139</v>
      </c>
      <c r="T16" s="4">
        <v>17</v>
      </c>
      <c r="U16" s="4" t="s">
        <v>139</v>
      </c>
      <c r="V16" s="4">
        <v>1</v>
      </c>
      <c r="W16" s="4">
        <v>51.5</v>
      </c>
      <c r="X16" s="9">
        <v>46.960112712157027</v>
      </c>
      <c r="Y16" s="4" t="s">
        <v>141</v>
      </c>
      <c r="Z16" s="4">
        <v>51</v>
      </c>
      <c r="AA16" s="4" t="s">
        <v>141</v>
      </c>
      <c r="AB16" s="4">
        <v>1</v>
      </c>
      <c r="AC16" s="5">
        <v>0.1154069513887972</v>
      </c>
      <c r="AD16" s="5">
        <v>8.9342214443065504E-2</v>
      </c>
      <c r="AE16" s="5">
        <v>0.21678714950879421</v>
      </c>
      <c r="AF16" s="5">
        <v>-8.9342214443065504E-2</v>
      </c>
      <c r="AG16" s="5">
        <v>-0.1154069513887972</v>
      </c>
      <c r="AH16" s="5">
        <v>-0.21678714950879421</v>
      </c>
    </row>
    <row r="17" spans="2:34" x14ac:dyDescent="0.2">
      <c r="B17" s="4">
        <v>2025</v>
      </c>
      <c r="C17" s="4">
        <v>18</v>
      </c>
      <c r="D17" s="4" t="s">
        <v>50</v>
      </c>
      <c r="E17" s="4" t="s">
        <v>13</v>
      </c>
      <c r="F17" s="4">
        <v>35</v>
      </c>
      <c r="G17" s="4">
        <v>8</v>
      </c>
      <c r="H17" s="8">
        <v>0.8305133460115266</v>
      </c>
      <c r="I17" s="4">
        <v>-490</v>
      </c>
      <c r="J17" s="8">
        <v>0.1694866539884734</v>
      </c>
      <c r="K17" s="4">
        <v>490</v>
      </c>
      <c r="L17" s="4" t="s">
        <v>50</v>
      </c>
      <c r="M17" s="4" t="s">
        <v>50</v>
      </c>
      <c r="N17" s="4">
        <v>1</v>
      </c>
      <c r="O17" s="15">
        <v>28.396399630011821</v>
      </c>
      <c r="P17" s="15">
        <v>15.88439993258806</v>
      </c>
      <c r="Q17" s="4">
        <v>7</v>
      </c>
      <c r="R17" s="9">
        <v>12.51199969742375</v>
      </c>
      <c r="S17" s="4" t="s">
        <v>139</v>
      </c>
      <c r="T17" s="4">
        <v>27</v>
      </c>
      <c r="U17" s="4" t="s">
        <v>139</v>
      </c>
      <c r="V17" s="4">
        <v>1</v>
      </c>
      <c r="W17" s="4">
        <v>38.5</v>
      </c>
      <c r="X17" s="9">
        <v>44.280799562599881</v>
      </c>
      <c r="Y17" s="4" t="s">
        <v>140</v>
      </c>
      <c r="Z17" s="4">
        <v>43</v>
      </c>
      <c r="AA17" s="4" t="s">
        <v>140</v>
      </c>
      <c r="AB17" s="4">
        <v>1</v>
      </c>
      <c r="AC17" s="5">
        <v>0.33919749052628229</v>
      </c>
      <c r="AD17" s="5">
        <v>0.2842603766399881</v>
      </c>
      <c r="AE17" s="5">
        <v>-0.2122704794532374</v>
      </c>
      <c r="AF17" s="5">
        <v>-0.2842603766399881</v>
      </c>
      <c r="AG17" s="5">
        <v>-0.33919749052628229</v>
      </c>
      <c r="AH17" s="5">
        <v>0.2122704794532374</v>
      </c>
    </row>
    <row r="18" spans="2:34" x14ac:dyDescent="0.2">
      <c r="B18" s="4">
        <v>2025</v>
      </c>
      <c r="C18" s="4">
        <v>18</v>
      </c>
      <c r="D18" s="4" t="s">
        <v>53</v>
      </c>
      <c r="E18" s="4" t="s">
        <v>47</v>
      </c>
      <c r="F18" s="4">
        <v>16</v>
      </c>
      <c r="G18" s="4">
        <v>19</v>
      </c>
      <c r="H18" s="8">
        <v>0.60651137512081821</v>
      </c>
      <c r="I18" s="4">
        <v>-154</v>
      </c>
      <c r="J18" s="8">
        <v>0.39348862487918179</v>
      </c>
      <c r="K18" s="4">
        <v>154</v>
      </c>
      <c r="L18" s="4" t="s">
        <v>53</v>
      </c>
      <c r="M18" s="4" t="s">
        <v>47</v>
      </c>
      <c r="N18" s="4">
        <v>0</v>
      </c>
      <c r="O18" s="15">
        <v>26.088516294902011</v>
      </c>
      <c r="P18" s="15">
        <v>24.24751712056343</v>
      </c>
      <c r="Q18" s="4">
        <v>3</v>
      </c>
      <c r="R18" s="9">
        <v>1.840999174338577</v>
      </c>
      <c r="S18" s="4" t="s">
        <v>138</v>
      </c>
      <c r="T18" s="4">
        <v>-3</v>
      </c>
      <c r="U18" s="4" t="s">
        <v>138</v>
      </c>
      <c r="V18" s="4">
        <v>1</v>
      </c>
      <c r="W18" s="4">
        <v>50.5</v>
      </c>
      <c r="X18" s="9">
        <v>50.336033415465437</v>
      </c>
      <c r="Y18" s="4" t="s">
        <v>141</v>
      </c>
      <c r="Z18" s="4">
        <v>35</v>
      </c>
      <c r="AA18" s="4" t="s">
        <v>141</v>
      </c>
      <c r="AB18" s="4">
        <v>1</v>
      </c>
      <c r="AC18" s="5">
        <v>-4.3949065905696943E-3</v>
      </c>
      <c r="AD18" s="5">
        <v>-0.1264523414716329</v>
      </c>
      <c r="AE18" s="5">
        <v>0.13135414231907239</v>
      </c>
      <c r="AF18" s="5">
        <v>0.1264523414716329</v>
      </c>
      <c r="AG18" s="5">
        <v>4.3949065905696943E-3</v>
      </c>
      <c r="AH18" s="5">
        <v>-0.13135414231907239</v>
      </c>
    </row>
    <row r="19" spans="2:34" x14ac:dyDescent="0.2">
      <c r="B19" s="4">
        <v>2025</v>
      </c>
      <c r="C19" s="4">
        <v>18</v>
      </c>
      <c r="D19" s="4" t="s">
        <v>14</v>
      </c>
      <c r="E19" s="4" t="s">
        <v>29</v>
      </c>
      <c r="F19" s="4">
        <v>19</v>
      </c>
      <c r="G19" s="4">
        <v>3</v>
      </c>
      <c r="H19" s="8">
        <v>0.53324335709005655</v>
      </c>
      <c r="I19" s="4">
        <v>-114</v>
      </c>
      <c r="J19" s="8">
        <v>0.46675664290994351</v>
      </c>
      <c r="K19" s="4">
        <v>114</v>
      </c>
      <c r="L19" s="4" t="s">
        <v>14</v>
      </c>
      <c r="M19" s="4" t="s">
        <v>14</v>
      </c>
      <c r="N19" s="4">
        <v>1</v>
      </c>
      <c r="O19" s="15">
        <v>23.164765347823149</v>
      </c>
      <c r="P19" s="15">
        <v>21.727382908323669</v>
      </c>
      <c r="Q19" s="4">
        <v>12.5</v>
      </c>
      <c r="R19" s="15">
        <v>1.4373824394994761</v>
      </c>
      <c r="S19" s="4" t="s">
        <v>138</v>
      </c>
      <c r="T19" s="4">
        <v>16</v>
      </c>
      <c r="U19" s="4" t="s">
        <v>139</v>
      </c>
      <c r="V19" s="4">
        <v>0</v>
      </c>
      <c r="W19" s="4">
        <v>37.5</v>
      </c>
      <c r="X19" s="9">
        <v>44.892148256146811</v>
      </c>
      <c r="Y19" s="4" t="s">
        <v>140</v>
      </c>
      <c r="Z19" s="4">
        <v>22</v>
      </c>
      <c r="AA19" s="4" t="s">
        <v>141</v>
      </c>
      <c r="AB19" s="4">
        <v>0</v>
      </c>
      <c r="AC19" s="5">
        <v>-0.1939274135388826</v>
      </c>
      <c r="AD19" s="5">
        <v>0.42070012934067669</v>
      </c>
      <c r="AE19" s="5">
        <v>-1.952468907391583E-2</v>
      </c>
      <c r="AF19" s="5">
        <v>-0.42070012934067669</v>
      </c>
      <c r="AG19" s="5">
        <v>0.1939274135388826</v>
      </c>
      <c r="AH19" s="5">
        <v>1.952468907391583E-2</v>
      </c>
    </row>
    <row r="20" spans="2:34" x14ac:dyDescent="0.2">
      <c r="B20" s="4">
        <v>2025</v>
      </c>
      <c r="C20" s="4">
        <v>18</v>
      </c>
      <c r="D20" s="4" t="s">
        <v>17</v>
      </c>
      <c r="E20" s="4" t="s">
        <v>23</v>
      </c>
      <c r="F20" s="4">
        <v>37</v>
      </c>
      <c r="G20" s="4">
        <v>20</v>
      </c>
      <c r="H20" s="8">
        <v>0.81384823395549688</v>
      </c>
      <c r="I20" s="4">
        <v>-437</v>
      </c>
      <c r="J20" s="8">
        <v>0.18615176604450309</v>
      </c>
      <c r="K20" s="4">
        <v>437</v>
      </c>
      <c r="L20" s="4" t="s">
        <v>17</v>
      </c>
      <c r="M20" s="4" t="s">
        <v>17</v>
      </c>
      <c r="N20" s="4">
        <v>1</v>
      </c>
      <c r="O20" s="15">
        <v>30.905485139186009</v>
      </c>
      <c r="P20" s="15">
        <v>18.61532459110186</v>
      </c>
      <c r="Q20" s="4">
        <v>7.5</v>
      </c>
      <c r="R20" s="9">
        <v>12.290160548084151</v>
      </c>
      <c r="S20" s="4" t="s">
        <v>139</v>
      </c>
      <c r="T20" s="4">
        <v>17</v>
      </c>
      <c r="U20" s="4" t="s">
        <v>139</v>
      </c>
      <c r="V20" s="4">
        <v>1</v>
      </c>
      <c r="W20" s="4">
        <v>46.5</v>
      </c>
      <c r="X20" s="9">
        <v>49.520809730287873</v>
      </c>
      <c r="Y20" s="4" t="s">
        <v>140</v>
      </c>
      <c r="Z20" s="4">
        <v>57</v>
      </c>
      <c r="AA20" s="4" t="s">
        <v>140</v>
      </c>
      <c r="AB20" s="4">
        <v>1</v>
      </c>
      <c r="AC20" s="5">
        <v>0.2202407541409345</v>
      </c>
      <c r="AD20" s="5">
        <v>2.6646969573838369E-2</v>
      </c>
      <c r="AE20" s="5">
        <v>-1.7873119424890591E-2</v>
      </c>
      <c r="AF20" s="5">
        <v>-2.6646969573838369E-2</v>
      </c>
      <c r="AG20" s="5">
        <v>-0.2202407541409345</v>
      </c>
      <c r="AH20" s="5">
        <v>1.7873119424890591E-2</v>
      </c>
    </row>
    <row r="21" spans="2:34" x14ac:dyDescent="0.2">
      <c r="B21" s="4">
        <v>2025</v>
      </c>
      <c r="C21" s="4">
        <v>18</v>
      </c>
      <c r="D21" s="4" t="s">
        <v>37</v>
      </c>
      <c r="E21" s="4" t="s">
        <v>46</v>
      </c>
      <c r="F21" s="4">
        <v>14</v>
      </c>
      <c r="G21" s="4">
        <v>12</v>
      </c>
      <c r="H21" s="8">
        <v>0.23667107572911189</v>
      </c>
      <c r="I21" s="4">
        <v>322</v>
      </c>
      <c r="J21" s="8">
        <v>0.76332892427088817</v>
      </c>
      <c r="K21" s="4">
        <v>-322</v>
      </c>
      <c r="L21" s="4" t="s">
        <v>46</v>
      </c>
      <c r="M21" s="4" t="s">
        <v>37</v>
      </c>
      <c r="N21" s="4">
        <v>0</v>
      </c>
      <c r="O21" s="15">
        <v>13.489612544682471</v>
      </c>
      <c r="P21" s="15">
        <v>25.643059377796028</v>
      </c>
      <c r="Q21" s="4">
        <v>-5.5</v>
      </c>
      <c r="R21" s="9">
        <v>-12.153446833113559</v>
      </c>
      <c r="S21" s="4" t="s">
        <v>138</v>
      </c>
      <c r="T21" s="4">
        <v>2</v>
      </c>
      <c r="U21" s="4" t="s">
        <v>139</v>
      </c>
      <c r="V21" s="4">
        <v>0</v>
      </c>
      <c r="W21" s="4">
        <v>36.5</v>
      </c>
      <c r="X21" s="9">
        <v>39.132671922478487</v>
      </c>
      <c r="Y21" s="4" t="s">
        <v>140</v>
      </c>
      <c r="Z21" s="4">
        <v>26</v>
      </c>
      <c r="AA21" s="4" t="s">
        <v>141</v>
      </c>
      <c r="AB21" s="4">
        <v>0</v>
      </c>
      <c r="AC21" s="5">
        <v>-0.45686231340680811</v>
      </c>
      <c r="AD21" s="5">
        <v>0.47610270977020258</v>
      </c>
      <c r="AE21" s="5">
        <v>-8.1185160144682855E-2</v>
      </c>
      <c r="AF21" s="5">
        <v>-0.47610270977020258</v>
      </c>
      <c r="AG21" s="5">
        <v>0.45686231340680811</v>
      </c>
      <c r="AH21" s="5">
        <v>8.1185160144682855E-2</v>
      </c>
    </row>
    <row r="22" spans="2:34" x14ac:dyDescent="0.2">
      <c r="B22" s="4">
        <v>2025</v>
      </c>
      <c r="C22" s="4">
        <v>18</v>
      </c>
      <c r="D22" s="4" t="s">
        <v>32</v>
      </c>
      <c r="E22" s="4" t="s">
        <v>28</v>
      </c>
      <c r="F22" s="4">
        <v>38</v>
      </c>
      <c r="G22" s="4">
        <v>10</v>
      </c>
      <c r="H22" s="8">
        <v>0.74870152000406931</v>
      </c>
      <c r="I22" s="4">
        <v>-297</v>
      </c>
      <c r="J22" s="8">
        <v>0.25129847999593069</v>
      </c>
      <c r="K22" s="4">
        <v>297</v>
      </c>
      <c r="L22" s="4" t="s">
        <v>32</v>
      </c>
      <c r="M22" s="4" t="s">
        <v>32</v>
      </c>
      <c r="N22" s="4">
        <v>1</v>
      </c>
      <c r="O22" s="9">
        <v>30.075581822722199</v>
      </c>
      <c r="P22" s="15">
        <v>19.747653641316589</v>
      </c>
      <c r="Q22" s="4">
        <v>10.5</v>
      </c>
      <c r="R22" s="9">
        <v>10.3279281814056</v>
      </c>
      <c r="S22" s="4" t="s">
        <v>138</v>
      </c>
      <c r="T22" s="4">
        <v>28</v>
      </c>
      <c r="U22" s="4" t="s">
        <v>139</v>
      </c>
      <c r="V22" s="4">
        <v>0</v>
      </c>
      <c r="W22" s="4">
        <v>45.5</v>
      </c>
      <c r="X22" s="9">
        <v>49.823235464038788</v>
      </c>
      <c r="Y22" s="4" t="s">
        <v>140</v>
      </c>
      <c r="Z22" s="4">
        <v>48</v>
      </c>
      <c r="AA22" s="4" t="s">
        <v>140</v>
      </c>
      <c r="AB22" s="4">
        <v>1</v>
      </c>
      <c r="AC22" s="5">
        <v>0.32397203278123288</v>
      </c>
      <c r="AD22" s="5">
        <v>0.31436092512948172</v>
      </c>
      <c r="AE22" s="5">
        <v>-7.6890102139225716E-2</v>
      </c>
      <c r="AF22" s="5">
        <v>-0.31436092512948172</v>
      </c>
      <c r="AG22" s="5">
        <v>-0.32397203278123288</v>
      </c>
      <c r="AH22" s="5">
        <v>7.6890102139225716E-2</v>
      </c>
    </row>
    <row r="23" spans="2:34" x14ac:dyDescent="0.2">
      <c r="B23" s="4">
        <v>2025</v>
      </c>
      <c r="C23" s="4">
        <v>18</v>
      </c>
      <c r="D23" s="4" t="s">
        <v>11</v>
      </c>
      <c r="E23" s="4" t="s">
        <v>52</v>
      </c>
      <c r="F23" s="4">
        <v>17</v>
      </c>
      <c r="G23" s="4">
        <v>24</v>
      </c>
      <c r="H23" s="8">
        <v>0.70480469602802465</v>
      </c>
      <c r="I23" s="4">
        <v>-238</v>
      </c>
      <c r="J23" s="8">
        <v>0.29519530397197541</v>
      </c>
      <c r="K23" s="4">
        <v>238</v>
      </c>
      <c r="L23" s="4" t="s">
        <v>11</v>
      </c>
      <c r="M23" s="4" t="s">
        <v>52</v>
      </c>
      <c r="N23" s="4">
        <v>0</v>
      </c>
      <c r="O23" s="9">
        <v>26.189862456781221</v>
      </c>
      <c r="P23" s="15">
        <v>19.81586437078397</v>
      </c>
      <c r="Q23" s="4">
        <v>4.5</v>
      </c>
      <c r="R23" s="9">
        <v>6.3739980859972576</v>
      </c>
      <c r="S23" s="4" t="s">
        <v>139</v>
      </c>
      <c r="T23" s="4">
        <v>-7</v>
      </c>
      <c r="U23" s="4" t="s">
        <v>138</v>
      </c>
      <c r="V23" s="4">
        <v>0</v>
      </c>
      <c r="W23" s="4">
        <v>38.5</v>
      </c>
      <c r="X23" s="9">
        <v>46.005726827565191</v>
      </c>
      <c r="Y23" s="4" t="s">
        <v>140</v>
      </c>
      <c r="Z23" s="4">
        <v>41</v>
      </c>
      <c r="AA23" s="4" t="s">
        <v>140</v>
      </c>
      <c r="AB23" s="4">
        <v>1</v>
      </c>
      <c r="AC23" s="5">
        <v>-8.6598269641399384E-2</v>
      </c>
      <c r="AD23" s="5">
        <v>-0.1271072643906323</v>
      </c>
      <c r="AE23" s="5">
        <v>0.11109153790907431</v>
      </c>
      <c r="AF23" s="5">
        <v>0.1271072643906323</v>
      </c>
      <c r="AG23" s="5">
        <v>8.6598269641399384E-2</v>
      </c>
      <c r="AH23" s="5">
        <v>-0.11109153790907431</v>
      </c>
    </row>
    <row r="24" spans="2:34" x14ac:dyDescent="0.2">
      <c r="B24" s="4">
        <v>2025</v>
      </c>
      <c r="C24" s="4">
        <v>18</v>
      </c>
      <c r="D24" s="4" t="s">
        <v>34</v>
      </c>
      <c r="E24" s="4" t="s">
        <v>16</v>
      </c>
      <c r="F24" s="4">
        <v>26</v>
      </c>
      <c r="G24" s="4">
        <v>24</v>
      </c>
      <c r="H24" s="8">
        <v>0.49279668363379742</v>
      </c>
      <c r="I24" s="4">
        <v>102</v>
      </c>
      <c r="J24" s="8">
        <v>0.50720331636620264</v>
      </c>
      <c r="K24" s="4">
        <v>-102</v>
      </c>
      <c r="L24" s="4" t="s">
        <v>16</v>
      </c>
      <c r="M24" s="4" t="s">
        <v>34</v>
      </c>
      <c r="N24" s="4">
        <v>0</v>
      </c>
      <c r="O24" s="9">
        <v>23.145400712847241</v>
      </c>
      <c r="P24" s="15">
        <v>22.175801719287058</v>
      </c>
      <c r="Q24" s="4">
        <v>-3.5</v>
      </c>
      <c r="R24" s="9">
        <v>0.96959899356018298</v>
      </c>
      <c r="S24" s="4" t="s">
        <v>139</v>
      </c>
      <c r="T24" s="4">
        <v>2</v>
      </c>
      <c r="U24" s="4" t="s">
        <v>139</v>
      </c>
      <c r="V24" s="4">
        <v>1</v>
      </c>
      <c r="W24" s="4">
        <v>40.5</v>
      </c>
      <c r="X24" s="9">
        <v>45.321202432134307</v>
      </c>
      <c r="Y24" s="4" t="s">
        <v>140</v>
      </c>
      <c r="Z24" s="4">
        <v>50</v>
      </c>
      <c r="AA24" s="4" t="s">
        <v>140</v>
      </c>
      <c r="AB24" s="4">
        <v>1</v>
      </c>
      <c r="AC24" s="5">
        <v>5.1401243209838868E-2</v>
      </c>
      <c r="AD24" s="5">
        <v>-0.14020941734313969</v>
      </c>
      <c r="AE24" s="5">
        <v>0.16552998338426861</v>
      </c>
      <c r="AF24" s="5">
        <v>0.14020941734313969</v>
      </c>
      <c r="AG24" s="5">
        <v>-5.1401243209838868E-2</v>
      </c>
      <c r="AH24" s="5">
        <v>-0.16552998338426861</v>
      </c>
    </row>
  </sheetData>
  <mergeCells count="6">
    <mergeCell ref="H7:N7"/>
    <mergeCell ref="O7:P7"/>
    <mergeCell ref="Q7:V7"/>
    <mergeCell ref="W7:AB7"/>
    <mergeCell ref="AC7:AE7"/>
    <mergeCell ref="AF7:AH7"/>
  </mergeCells>
  <conditionalFormatting sqref="AC9:AC2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9:AD2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9:AE2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9:AF2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9:AG2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9:AH2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42BA054-213D-484C-8305-E1A32BC78F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N9:N24</xm:sqref>
        </x14:conditionalFormatting>
        <x14:conditionalFormatting xmlns:xm="http://schemas.microsoft.com/office/excel/2006/main">
          <x14:cfRule type="iconSet" priority="2" id="{7B662BFB-6111-0742-ABDC-6A72455D58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V9:V24</xm:sqref>
        </x14:conditionalFormatting>
        <x14:conditionalFormatting xmlns:xm="http://schemas.microsoft.com/office/excel/2006/main">
          <x14:cfRule type="iconSet" priority="3" id="{723EBDCB-3937-3640-8C60-E03AB9ABBC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AB9:AB24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Master</vt:lpstr>
      <vt:lpstr>Weekly Record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Miller</cp:lastModifiedBy>
  <dcterms:created xsi:type="dcterms:W3CDTF">2025-10-15T19:29:51Z</dcterms:created>
  <dcterms:modified xsi:type="dcterms:W3CDTF">2026-01-12T20:16:24Z</dcterms:modified>
</cp:coreProperties>
</file>